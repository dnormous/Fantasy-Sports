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rek\Google Drive\Derek\R\NFL\FFDraft 2015\"/>
    </mc:Choice>
  </mc:AlternateContent>
  <bookViews>
    <workbookView xWindow="120" yWindow="120" windowWidth="28640" windowHeight="12720" activeTab="1"/>
  </bookViews>
  <sheets>
    <sheet name="2014" sheetId="4" r:id="rId1"/>
    <sheet name="2015" sheetId="2" r:id="rId2"/>
  </sheets>
  <definedNames>
    <definedName name="_xlnm._FilterDatabase" localSheetId="0" hidden="1">'2014'!$O$1:$O$197</definedName>
    <definedName name="_xlnm._FilterDatabase" localSheetId="1" hidden="1">'2015'!$O$1:$O$197</definedName>
    <definedName name="solver_adj" localSheetId="0" hidden="1">'2014'!$O$2:$O$197</definedName>
    <definedName name="solver_adj" localSheetId="1" hidden="1">'2015'!$O$2:$O$197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2</definedName>
    <definedName name="solver_eng" localSheetId="1" hidden="1">2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lhs1" localSheetId="0" hidden="1">'2014'!$G$18</definedName>
    <definedName name="solver_lhs1" localSheetId="1" hidden="1">'2015'!$G$18</definedName>
    <definedName name="solver_lhs10" localSheetId="0" hidden="1">'2014'!$G$22</definedName>
    <definedName name="solver_lhs10" localSheetId="1" hidden="1">'2015'!$G$22</definedName>
    <definedName name="solver_lhs11" localSheetId="0" hidden="1">'2014'!$G$23</definedName>
    <definedName name="solver_lhs11" localSheetId="1" hidden="1">'2015'!$G$23</definedName>
    <definedName name="solver_lhs12" localSheetId="0" hidden="1">'2014'!$G$23</definedName>
    <definedName name="solver_lhs12" localSheetId="1" hidden="1">'2015'!$G$23</definedName>
    <definedName name="solver_lhs13" localSheetId="0" hidden="1">'2014'!$G$24</definedName>
    <definedName name="solver_lhs13" localSheetId="1" hidden="1">'2015'!$G$24</definedName>
    <definedName name="solver_lhs14" localSheetId="0" hidden="1">'2014'!$G$24</definedName>
    <definedName name="solver_lhs14" localSheetId="1" hidden="1">'2015'!$G$24</definedName>
    <definedName name="solver_lhs15" localSheetId="0" hidden="1">'2014'!$G$25</definedName>
    <definedName name="solver_lhs15" localSheetId="1" hidden="1">'2015'!$G$25</definedName>
    <definedName name="solver_lhs16" localSheetId="0" hidden="1">'2014'!$G$25</definedName>
    <definedName name="solver_lhs16" localSheetId="1" hidden="1">'2015'!$G$25</definedName>
    <definedName name="solver_lhs17" localSheetId="0" hidden="1">'2014'!$G$26</definedName>
    <definedName name="solver_lhs17" localSheetId="1" hidden="1">'2015'!$G$26</definedName>
    <definedName name="solver_lhs18" localSheetId="0" hidden="1">'2014'!$H$15</definedName>
    <definedName name="solver_lhs18" localSheetId="1" hidden="1">'2015'!$H$15</definedName>
    <definedName name="solver_lhs19" localSheetId="0" hidden="1">'2014'!$H$40</definedName>
    <definedName name="solver_lhs19" localSheetId="1" hidden="1">'2015'!$H$40</definedName>
    <definedName name="solver_lhs2" localSheetId="0" hidden="1">'2014'!$G$18</definedName>
    <definedName name="solver_lhs2" localSheetId="1" hidden="1">'2015'!$G$18</definedName>
    <definedName name="solver_lhs20" localSheetId="0" hidden="1">'2014'!$O$2:$O$197</definedName>
    <definedName name="solver_lhs20" localSheetId="1" hidden="1">'2015'!$O$2:$O$197</definedName>
    <definedName name="solver_lhs3" localSheetId="0" hidden="1">'2014'!$G$19</definedName>
    <definedName name="solver_lhs3" localSheetId="1" hidden="1">'2015'!$G$19</definedName>
    <definedName name="solver_lhs4" localSheetId="0" hidden="1">'2014'!$G$19</definedName>
    <definedName name="solver_lhs4" localSheetId="1" hidden="1">'2015'!$G$19</definedName>
    <definedName name="solver_lhs5" localSheetId="0" hidden="1">'2014'!$G$20</definedName>
    <definedName name="solver_lhs5" localSheetId="1" hidden="1">'2015'!$G$20</definedName>
    <definedName name="solver_lhs6" localSheetId="0" hidden="1">'2014'!$G$20</definedName>
    <definedName name="solver_lhs6" localSheetId="1" hidden="1">'2015'!$G$20</definedName>
    <definedName name="solver_lhs7" localSheetId="0" hidden="1">'2014'!$G$21</definedName>
    <definedName name="solver_lhs7" localSheetId="1" hidden="1">'2015'!$G$21</definedName>
    <definedName name="solver_lhs8" localSheetId="0" hidden="1">'2014'!$G$21</definedName>
    <definedName name="solver_lhs8" localSheetId="1" hidden="1">'2015'!$G$21</definedName>
    <definedName name="solver_lhs9" localSheetId="0" hidden="1">'2014'!$G$22</definedName>
    <definedName name="solver_lhs9" localSheetId="1" hidden="1">'2015'!$G$22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20</definedName>
    <definedName name="solver_num" localSheetId="1" hidden="1">20</definedName>
    <definedName name="solver_nwt" localSheetId="0" hidden="1">1</definedName>
    <definedName name="solver_nwt" localSheetId="1" hidden="1">1</definedName>
    <definedName name="solver_opt" localSheetId="0" hidden="1">'2014'!$G$15</definedName>
    <definedName name="solver_opt" localSheetId="1" hidden="1">'2015'!$G$15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el1" localSheetId="0" hidden="1">1</definedName>
    <definedName name="solver_rel1" localSheetId="1" hidden="1">1</definedName>
    <definedName name="solver_rel10" localSheetId="0" hidden="1">3</definedName>
    <definedName name="solver_rel10" localSheetId="1" hidden="1">3</definedName>
    <definedName name="solver_rel11" localSheetId="0" hidden="1">1</definedName>
    <definedName name="solver_rel11" localSheetId="1" hidden="1">1</definedName>
    <definedName name="solver_rel12" localSheetId="0" hidden="1">3</definedName>
    <definedName name="solver_rel12" localSheetId="1" hidden="1">3</definedName>
    <definedName name="solver_rel13" localSheetId="0" hidden="1">1</definedName>
    <definedName name="solver_rel13" localSheetId="1" hidden="1">1</definedName>
    <definedName name="solver_rel14" localSheetId="0" hidden="1">3</definedName>
    <definedName name="solver_rel14" localSheetId="1" hidden="1">3</definedName>
    <definedName name="solver_rel15" localSheetId="0" hidden="1">1</definedName>
    <definedName name="solver_rel15" localSheetId="1" hidden="1">1</definedName>
    <definedName name="solver_rel16" localSheetId="0" hidden="1">3</definedName>
    <definedName name="solver_rel16" localSheetId="1" hidden="1">3</definedName>
    <definedName name="solver_rel17" localSheetId="0" hidden="1">2</definedName>
    <definedName name="solver_rel17" localSheetId="1" hidden="1">2</definedName>
    <definedName name="solver_rel18" localSheetId="0" hidden="1">1</definedName>
    <definedName name="solver_rel18" localSheetId="1" hidden="1">1</definedName>
    <definedName name="solver_rel19" localSheetId="0" hidden="1">2</definedName>
    <definedName name="solver_rel19" localSheetId="1" hidden="1">2</definedName>
    <definedName name="solver_rel2" localSheetId="0" hidden="1">3</definedName>
    <definedName name="solver_rel2" localSheetId="1" hidden="1">3</definedName>
    <definedName name="solver_rel20" localSheetId="0" hidden="1">5</definedName>
    <definedName name="solver_rel20" localSheetId="1" hidden="1">5</definedName>
    <definedName name="solver_rel3" localSheetId="0" hidden="1">1</definedName>
    <definedName name="solver_rel3" localSheetId="1" hidden="1">1</definedName>
    <definedName name="solver_rel4" localSheetId="0" hidden="1">3</definedName>
    <definedName name="solver_rel4" localSheetId="1" hidden="1">3</definedName>
    <definedName name="solver_rel5" localSheetId="0" hidden="1">1</definedName>
    <definedName name="solver_rel5" localSheetId="1" hidden="1">1</definedName>
    <definedName name="solver_rel6" localSheetId="0" hidden="1">3</definedName>
    <definedName name="solver_rel6" localSheetId="1" hidden="1">3</definedName>
    <definedName name="solver_rel7" localSheetId="0" hidden="1">1</definedName>
    <definedName name="solver_rel7" localSheetId="1" hidden="1">1</definedName>
    <definedName name="solver_rel8" localSheetId="0" hidden="1">3</definedName>
    <definedName name="solver_rel8" localSheetId="1" hidden="1">3</definedName>
    <definedName name="solver_rel9" localSheetId="0" hidden="1">1</definedName>
    <definedName name="solver_rel9" localSheetId="1" hidden="1">1</definedName>
    <definedName name="solver_rhs1" localSheetId="0" hidden="1">'2014'!$G$30</definedName>
    <definedName name="solver_rhs1" localSheetId="1" hidden="1">'2015'!$G$30</definedName>
    <definedName name="solver_rhs10" localSheetId="0" hidden="1">'2014'!$H$22</definedName>
    <definedName name="solver_rhs10" localSheetId="1" hidden="1">'2015'!$H$22</definedName>
    <definedName name="solver_rhs11" localSheetId="0" hidden="1">'2014'!$G$35</definedName>
    <definedName name="solver_rhs11" localSheetId="1" hidden="1">'2015'!$G$35</definedName>
    <definedName name="solver_rhs12" localSheetId="0" hidden="1">'2014'!$H$23</definedName>
    <definedName name="solver_rhs12" localSheetId="1" hidden="1">'2015'!$H$23</definedName>
    <definedName name="solver_rhs13" localSheetId="0" hidden="1">'2014'!$G$37</definedName>
    <definedName name="solver_rhs13" localSheetId="1" hidden="1">'2015'!$G$37</definedName>
    <definedName name="solver_rhs14" localSheetId="0" hidden="1">'2014'!$H$24</definedName>
    <definedName name="solver_rhs14" localSheetId="1" hidden="1">'2015'!$H$24</definedName>
    <definedName name="solver_rhs15" localSheetId="0" hidden="1">'2014'!$G$36</definedName>
    <definedName name="solver_rhs15" localSheetId="1" hidden="1">'2015'!$G$36</definedName>
    <definedName name="solver_rhs16" localSheetId="0" hidden="1">'2014'!$H$25</definedName>
    <definedName name="solver_rhs16" localSheetId="1" hidden="1">'2015'!$H$25</definedName>
    <definedName name="solver_rhs17" localSheetId="0" hidden="1">'2014'!$G$38</definedName>
    <definedName name="solver_rhs17" localSheetId="1" hidden="1">'2015'!$G$38</definedName>
    <definedName name="solver_rhs18" localSheetId="0" hidden="1">'2014'!$G$4</definedName>
    <definedName name="solver_rhs18" localSheetId="1" hidden="1">'2015'!$G$4</definedName>
    <definedName name="solver_rhs19" localSheetId="0" hidden="1">0</definedName>
    <definedName name="solver_rhs19" localSheetId="1" hidden="1">0</definedName>
    <definedName name="solver_rhs2" localSheetId="0" hidden="1">'2014'!$H$18</definedName>
    <definedName name="solver_rhs2" localSheetId="1" hidden="1">'2015'!$H$18</definedName>
    <definedName name="solver_rhs20" localSheetId="0" hidden="1">binary</definedName>
    <definedName name="solver_rhs20" localSheetId="1" hidden="1">binary</definedName>
    <definedName name="solver_rhs3" localSheetId="0" hidden="1">'2014'!$G$31</definedName>
    <definedName name="solver_rhs3" localSheetId="1" hidden="1">'2015'!$G$31</definedName>
    <definedName name="solver_rhs4" localSheetId="0" hidden="1">'2014'!$H$19</definedName>
    <definedName name="solver_rhs4" localSheetId="1" hidden="1">'2015'!$H$19</definedName>
    <definedName name="solver_rhs5" localSheetId="0" hidden="1">'2014'!$G$32</definedName>
    <definedName name="solver_rhs5" localSheetId="1" hidden="1">'2015'!$G$32</definedName>
    <definedName name="solver_rhs6" localSheetId="0" hidden="1">'2014'!$H$20</definedName>
    <definedName name="solver_rhs6" localSheetId="1" hidden="1">'2015'!$H$20</definedName>
    <definedName name="solver_rhs7" localSheetId="0" hidden="1">'2014'!$G$33</definedName>
    <definedName name="solver_rhs7" localSheetId="1" hidden="1">'2015'!$G$33</definedName>
    <definedName name="solver_rhs8" localSheetId="0" hidden="1">'2014'!$H$21</definedName>
    <definedName name="solver_rhs8" localSheetId="1" hidden="1">'2015'!$H$21</definedName>
    <definedName name="solver_rhs9" localSheetId="0" hidden="1">'2014'!$G$34</definedName>
    <definedName name="solver_rhs9" localSheetId="1" hidden="1">'2015'!$G$34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</definedName>
    <definedName name="solver_tol" localSheetId="1" hidden="1">0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52511"/>
</workbook>
</file>

<file path=xl/calcChain.xml><?xml version="1.0" encoding="utf-8"?>
<calcChain xmlns="http://schemas.openxmlformats.org/spreadsheetml/2006/main">
  <c r="N197" i="2" l="1"/>
  <c r="M197" i="2"/>
  <c r="L197" i="2"/>
  <c r="N196" i="2"/>
  <c r="M196" i="2"/>
  <c r="L196" i="2"/>
  <c r="N195" i="2"/>
  <c r="M195" i="2"/>
  <c r="L195" i="2"/>
  <c r="N194" i="2"/>
  <c r="M194" i="2"/>
  <c r="L194" i="2"/>
  <c r="N193" i="2"/>
  <c r="M193" i="2"/>
  <c r="L193" i="2"/>
  <c r="N192" i="2"/>
  <c r="M192" i="2"/>
  <c r="L192" i="2"/>
  <c r="N191" i="2"/>
  <c r="M191" i="2"/>
  <c r="L191" i="2"/>
  <c r="N190" i="2"/>
  <c r="M190" i="2"/>
  <c r="L190" i="2"/>
  <c r="N189" i="2"/>
  <c r="M189" i="2"/>
  <c r="L189" i="2"/>
  <c r="N188" i="2"/>
  <c r="M188" i="2"/>
  <c r="L188" i="2"/>
  <c r="N187" i="2"/>
  <c r="M187" i="2"/>
  <c r="L187" i="2"/>
  <c r="N186" i="2"/>
  <c r="M186" i="2"/>
  <c r="L186" i="2"/>
  <c r="N185" i="2"/>
  <c r="M185" i="2"/>
  <c r="L185" i="2"/>
  <c r="N184" i="2"/>
  <c r="M184" i="2"/>
  <c r="L184" i="2"/>
  <c r="N183" i="2"/>
  <c r="M183" i="2"/>
  <c r="L183" i="2"/>
  <c r="N182" i="2"/>
  <c r="M182" i="2"/>
  <c r="L182" i="2"/>
  <c r="N181" i="2"/>
  <c r="M181" i="2"/>
  <c r="L181" i="2"/>
  <c r="N180" i="2"/>
  <c r="M180" i="2"/>
  <c r="L180" i="2"/>
  <c r="N179" i="2"/>
  <c r="M179" i="2"/>
  <c r="L179" i="2"/>
  <c r="N178" i="2"/>
  <c r="M178" i="2"/>
  <c r="L178" i="2"/>
  <c r="N177" i="2"/>
  <c r="M177" i="2"/>
  <c r="L177" i="2"/>
  <c r="N176" i="2"/>
  <c r="M176" i="2"/>
  <c r="L176" i="2"/>
  <c r="N175" i="2"/>
  <c r="M175" i="2"/>
  <c r="L175" i="2"/>
  <c r="N174" i="2"/>
  <c r="M174" i="2"/>
  <c r="L174" i="2"/>
  <c r="N173" i="2"/>
  <c r="M173" i="2"/>
  <c r="L173" i="2"/>
  <c r="N172" i="2"/>
  <c r="M172" i="2"/>
  <c r="L172" i="2"/>
  <c r="N171" i="2"/>
  <c r="M171" i="2"/>
  <c r="L171" i="2"/>
  <c r="N170" i="2"/>
  <c r="M170" i="2"/>
  <c r="L170" i="2"/>
  <c r="N169" i="2"/>
  <c r="M169" i="2"/>
  <c r="L169" i="2"/>
  <c r="N168" i="2"/>
  <c r="M168" i="2"/>
  <c r="L168" i="2"/>
  <c r="N167" i="2"/>
  <c r="M167" i="2"/>
  <c r="L167" i="2"/>
  <c r="N166" i="2"/>
  <c r="M166" i="2"/>
  <c r="L166" i="2"/>
  <c r="N165" i="2"/>
  <c r="M165" i="2"/>
  <c r="L165" i="2"/>
  <c r="N164" i="2"/>
  <c r="M164" i="2"/>
  <c r="L164" i="2"/>
  <c r="N163" i="2"/>
  <c r="M163" i="2"/>
  <c r="L163" i="2"/>
  <c r="N162" i="2"/>
  <c r="M162" i="2"/>
  <c r="L162" i="2"/>
  <c r="N161" i="2"/>
  <c r="M161" i="2"/>
  <c r="L161" i="2"/>
  <c r="N160" i="2"/>
  <c r="M160" i="2"/>
  <c r="L160" i="2"/>
  <c r="N159" i="2"/>
  <c r="M159" i="2"/>
  <c r="L159" i="2"/>
  <c r="N158" i="2"/>
  <c r="M158" i="2"/>
  <c r="L158" i="2"/>
  <c r="N157" i="2"/>
  <c r="M157" i="2"/>
  <c r="L157" i="2"/>
  <c r="N156" i="2"/>
  <c r="M156" i="2"/>
  <c r="L156" i="2"/>
  <c r="N155" i="2"/>
  <c r="M155" i="2"/>
  <c r="L155" i="2"/>
  <c r="N154" i="2"/>
  <c r="M154" i="2"/>
  <c r="L154" i="2"/>
  <c r="N153" i="2"/>
  <c r="M153" i="2"/>
  <c r="L153" i="2"/>
  <c r="N152" i="2"/>
  <c r="M152" i="2"/>
  <c r="L152" i="2"/>
  <c r="N151" i="2"/>
  <c r="M151" i="2"/>
  <c r="L151" i="2"/>
  <c r="N150" i="2"/>
  <c r="M150" i="2"/>
  <c r="L150" i="2"/>
  <c r="N149" i="2"/>
  <c r="M149" i="2"/>
  <c r="L149" i="2"/>
  <c r="N148" i="2"/>
  <c r="M148" i="2"/>
  <c r="L148" i="2"/>
  <c r="N147" i="2"/>
  <c r="M147" i="2"/>
  <c r="L147" i="2"/>
  <c r="N146" i="2"/>
  <c r="M146" i="2"/>
  <c r="L146" i="2"/>
  <c r="N145" i="2"/>
  <c r="M145" i="2"/>
  <c r="L145" i="2"/>
  <c r="N144" i="2"/>
  <c r="M144" i="2"/>
  <c r="L144" i="2"/>
  <c r="N143" i="2"/>
  <c r="M143" i="2"/>
  <c r="L143" i="2"/>
  <c r="N142" i="2"/>
  <c r="M142" i="2"/>
  <c r="L142" i="2"/>
  <c r="N141" i="2"/>
  <c r="M141" i="2"/>
  <c r="L141" i="2"/>
  <c r="N140" i="2"/>
  <c r="M140" i="2"/>
  <c r="L140" i="2"/>
  <c r="N139" i="2"/>
  <c r="M139" i="2"/>
  <c r="L139" i="2"/>
  <c r="N138" i="2"/>
  <c r="M138" i="2"/>
  <c r="L138" i="2"/>
  <c r="N137" i="2"/>
  <c r="M137" i="2"/>
  <c r="L137" i="2"/>
  <c r="N136" i="2"/>
  <c r="M136" i="2"/>
  <c r="L136" i="2"/>
  <c r="N135" i="2"/>
  <c r="M135" i="2"/>
  <c r="L135" i="2"/>
  <c r="N134" i="2"/>
  <c r="M134" i="2"/>
  <c r="L134" i="2"/>
  <c r="N133" i="2"/>
  <c r="M133" i="2"/>
  <c r="L133" i="2"/>
  <c r="N132" i="2"/>
  <c r="M132" i="2"/>
  <c r="L132" i="2"/>
  <c r="N131" i="2"/>
  <c r="M131" i="2"/>
  <c r="L131" i="2"/>
  <c r="N130" i="2"/>
  <c r="M130" i="2"/>
  <c r="L130" i="2"/>
  <c r="N129" i="2"/>
  <c r="M129" i="2"/>
  <c r="L129" i="2"/>
  <c r="N128" i="2"/>
  <c r="M128" i="2"/>
  <c r="L128" i="2"/>
  <c r="N127" i="2"/>
  <c r="M127" i="2"/>
  <c r="L127" i="2"/>
  <c r="N126" i="2"/>
  <c r="M126" i="2"/>
  <c r="L126" i="2"/>
  <c r="N125" i="2"/>
  <c r="M125" i="2"/>
  <c r="L125" i="2"/>
  <c r="N124" i="2"/>
  <c r="M124" i="2"/>
  <c r="L124" i="2"/>
  <c r="N123" i="2"/>
  <c r="M123" i="2"/>
  <c r="L123" i="2"/>
  <c r="N122" i="2"/>
  <c r="M122" i="2"/>
  <c r="L122" i="2"/>
  <c r="N121" i="2"/>
  <c r="M121" i="2"/>
  <c r="L121" i="2"/>
  <c r="N120" i="2"/>
  <c r="M120" i="2"/>
  <c r="L120" i="2"/>
  <c r="N119" i="2"/>
  <c r="M119" i="2"/>
  <c r="L119" i="2"/>
  <c r="N118" i="2"/>
  <c r="M118" i="2"/>
  <c r="L118" i="2"/>
  <c r="N117" i="2"/>
  <c r="M117" i="2"/>
  <c r="L117" i="2"/>
  <c r="N116" i="2"/>
  <c r="M116" i="2"/>
  <c r="L116" i="2"/>
  <c r="N115" i="2"/>
  <c r="M115" i="2"/>
  <c r="L115" i="2"/>
  <c r="N114" i="2"/>
  <c r="M114" i="2"/>
  <c r="L114" i="2"/>
  <c r="N113" i="2"/>
  <c r="M113" i="2"/>
  <c r="L113" i="2"/>
  <c r="N112" i="2"/>
  <c r="M112" i="2"/>
  <c r="L112" i="2"/>
  <c r="N111" i="2"/>
  <c r="M111" i="2"/>
  <c r="L111" i="2"/>
  <c r="N110" i="2"/>
  <c r="M110" i="2"/>
  <c r="L110" i="2"/>
  <c r="N109" i="2"/>
  <c r="M109" i="2"/>
  <c r="L109" i="2"/>
  <c r="N108" i="2"/>
  <c r="M108" i="2"/>
  <c r="L108" i="2"/>
  <c r="N107" i="2"/>
  <c r="M107" i="2"/>
  <c r="L107" i="2"/>
  <c r="N106" i="2"/>
  <c r="M106" i="2"/>
  <c r="L106" i="2"/>
  <c r="N105" i="2"/>
  <c r="M105" i="2"/>
  <c r="L105" i="2"/>
  <c r="N104" i="2"/>
  <c r="M104" i="2"/>
  <c r="L104" i="2"/>
  <c r="N103" i="2"/>
  <c r="M103" i="2"/>
  <c r="L103" i="2"/>
  <c r="N102" i="2"/>
  <c r="M102" i="2"/>
  <c r="L102" i="2"/>
  <c r="N101" i="2"/>
  <c r="M101" i="2"/>
  <c r="L101" i="2"/>
  <c r="N100" i="2"/>
  <c r="M100" i="2"/>
  <c r="L100" i="2"/>
  <c r="N99" i="2"/>
  <c r="M99" i="2"/>
  <c r="L99" i="2"/>
  <c r="N98" i="2"/>
  <c r="M98" i="2"/>
  <c r="L98" i="2"/>
  <c r="N97" i="2"/>
  <c r="M97" i="2"/>
  <c r="L97" i="2"/>
  <c r="N96" i="2"/>
  <c r="M96" i="2"/>
  <c r="L96" i="2"/>
  <c r="N95" i="2"/>
  <c r="M95" i="2"/>
  <c r="L95" i="2"/>
  <c r="N94" i="2"/>
  <c r="M94" i="2"/>
  <c r="L94" i="2"/>
  <c r="N93" i="2"/>
  <c r="M93" i="2"/>
  <c r="L93" i="2"/>
  <c r="N92" i="2"/>
  <c r="M92" i="2"/>
  <c r="L92" i="2"/>
  <c r="N91" i="2"/>
  <c r="M91" i="2"/>
  <c r="L91" i="2"/>
  <c r="N90" i="2"/>
  <c r="M90" i="2"/>
  <c r="L90" i="2"/>
  <c r="N89" i="2"/>
  <c r="M89" i="2"/>
  <c r="L89" i="2"/>
  <c r="N88" i="2"/>
  <c r="M88" i="2"/>
  <c r="L88" i="2"/>
  <c r="N87" i="2"/>
  <c r="M87" i="2"/>
  <c r="L87" i="2"/>
  <c r="N86" i="2"/>
  <c r="M86" i="2"/>
  <c r="L86" i="2"/>
  <c r="N85" i="2"/>
  <c r="M85" i="2"/>
  <c r="L85" i="2"/>
  <c r="N84" i="2"/>
  <c r="M84" i="2"/>
  <c r="L84" i="2"/>
  <c r="N83" i="2"/>
  <c r="M83" i="2"/>
  <c r="L83" i="2"/>
  <c r="N82" i="2"/>
  <c r="M82" i="2"/>
  <c r="L82" i="2"/>
  <c r="N81" i="2"/>
  <c r="M81" i="2"/>
  <c r="L81" i="2"/>
  <c r="N80" i="2"/>
  <c r="M80" i="2"/>
  <c r="L80" i="2"/>
  <c r="N79" i="2"/>
  <c r="M79" i="2"/>
  <c r="L79" i="2"/>
  <c r="N78" i="2"/>
  <c r="M78" i="2"/>
  <c r="L78" i="2"/>
  <c r="N77" i="2"/>
  <c r="M77" i="2"/>
  <c r="L77" i="2"/>
  <c r="N76" i="2"/>
  <c r="M76" i="2"/>
  <c r="L76" i="2"/>
  <c r="N75" i="2"/>
  <c r="M75" i="2"/>
  <c r="L75" i="2"/>
  <c r="N74" i="2"/>
  <c r="M74" i="2"/>
  <c r="L74" i="2"/>
  <c r="N73" i="2"/>
  <c r="M73" i="2"/>
  <c r="L73" i="2"/>
  <c r="N72" i="2"/>
  <c r="M72" i="2"/>
  <c r="L72" i="2"/>
  <c r="N71" i="2"/>
  <c r="M71" i="2"/>
  <c r="L71" i="2"/>
  <c r="N70" i="2"/>
  <c r="M70" i="2"/>
  <c r="L70" i="2"/>
  <c r="N69" i="2"/>
  <c r="M69" i="2"/>
  <c r="L69" i="2"/>
  <c r="N68" i="2"/>
  <c r="M68" i="2"/>
  <c r="L68" i="2"/>
  <c r="N67" i="2"/>
  <c r="M67" i="2"/>
  <c r="L67" i="2"/>
  <c r="N66" i="2"/>
  <c r="M66" i="2"/>
  <c r="L66" i="2"/>
  <c r="N65" i="2"/>
  <c r="M65" i="2"/>
  <c r="L65" i="2"/>
  <c r="N64" i="2"/>
  <c r="M64" i="2"/>
  <c r="L64" i="2"/>
  <c r="N63" i="2"/>
  <c r="M63" i="2"/>
  <c r="L63" i="2"/>
  <c r="N62" i="2"/>
  <c r="M62" i="2"/>
  <c r="L62" i="2"/>
  <c r="N61" i="2"/>
  <c r="M61" i="2"/>
  <c r="L61" i="2"/>
  <c r="N60" i="2"/>
  <c r="M60" i="2"/>
  <c r="L60" i="2"/>
  <c r="N59" i="2"/>
  <c r="M59" i="2"/>
  <c r="L59" i="2"/>
  <c r="N58" i="2"/>
  <c r="M58" i="2"/>
  <c r="L58" i="2"/>
  <c r="N57" i="2"/>
  <c r="M57" i="2"/>
  <c r="L57" i="2"/>
  <c r="N56" i="2"/>
  <c r="M56" i="2"/>
  <c r="L56" i="2"/>
  <c r="N55" i="2"/>
  <c r="M55" i="2"/>
  <c r="L55" i="2"/>
  <c r="N54" i="2"/>
  <c r="M54" i="2"/>
  <c r="L54" i="2"/>
  <c r="N53" i="2"/>
  <c r="M53" i="2"/>
  <c r="L53" i="2"/>
  <c r="N52" i="2"/>
  <c r="M52" i="2"/>
  <c r="L52" i="2"/>
  <c r="N51" i="2"/>
  <c r="M51" i="2"/>
  <c r="L51" i="2"/>
  <c r="N50" i="2"/>
  <c r="M50" i="2"/>
  <c r="L50" i="2"/>
  <c r="N49" i="2"/>
  <c r="M49" i="2"/>
  <c r="L49" i="2"/>
  <c r="N48" i="2"/>
  <c r="M48" i="2"/>
  <c r="L48" i="2"/>
  <c r="N47" i="2"/>
  <c r="M47" i="2"/>
  <c r="L47" i="2"/>
  <c r="N46" i="2"/>
  <c r="M46" i="2"/>
  <c r="L46" i="2"/>
  <c r="N45" i="2"/>
  <c r="M45" i="2"/>
  <c r="L45" i="2"/>
  <c r="N44" i="2"/>
  <c r="M44" i="2"/>
  <c r="L44" i="2"/>
  <c r="N43" i="2"/>
  <c r="M43" i="2"/>
  <c r="L43" i="2"/>
  <c r="N42" i="2"/>
  <c r="M42" i="2"/>
  <c r="L42" i="2"/>
  <c r="N41" i="2"/>
  <c r="M41" i="2"/>
  <c r="L41" i="2"/>
  <c r="N40" i="2"/>
  <c r="M40" i="2"/>
  <c r="L40" i="2"/>
  <c r="N39" i="2"/>
  <c r="M39" i="2"/>
  <c r="L39" i="2"/>
  <c r="N38" i="2"/>
  <c r="M38" i="2"/>
  <c r="L38" i="2"/>
  <c r="N37" i="2"/>
  <c r="M37" i="2"/>
  <c r="L37" i="2"/>
  <c r="N36" i="2"/>
  <c r="M36" i="2"/>
  <c r="L36" i="2"/>
  <c r="N35" i="2"/>
  <c r="M35" i="2"/>
  <c r="L35" i="2"/>
  <c r="N34" i="2"/>
  <c r="M34" i="2"/>
  <c r="L34" i="2"/>
  <c r="N33" i="2"/>
  <c r="M33" i="2"/>
  <c r="L33" i="2"/>
  <c r="N32" i="2"/>
  <c r="M32" i="2"/>
  <c r="L32" i="2"/>
  <c r="N31" i="2"/>
  <c r="M31" i="2"/>
  <c r="L31" i="2"/>
  <c r="N30" i="2"/>
  <c r="M30" i="2"/>
  <c r="L30" i="2"/>
  <c r="N29" i="2"/>
  <c r="M29" i="2"/>
  <c r="L29" i="2"/>
  <c r="N28" i="2"/>
  <c r="M28" i="2"/>
  <c r="L28" i="2"/>
  <c r="N27" i="2"/>
  <c r="M27" i="2"/>
  <c r="L27" i="2"/>
  <c r="N26" i="2"/>
  <c r="M26" i="2"/>
  <c r="L26" i="2"/>
  <c r="N25" i="2"/>
  <c r="M25" i="2"/>
  <c r="L25" i="2"/>
  <c r="N24" i="2"/>
  <c r="M24" i="2"/>
  <c r="L24" i="2"/>
  <c r="N23" i="2"/>
  <c r="M23" i="2"/>
  <c r="L23" i="2"/>
  <c r="N22" i="2"/>
  <c r="M22" i="2"/>
  <c r="L22" i="2"/>
  <c r="N21" i="2"/>
  <c r="M21" i="2"/>
  <c r="L21" i="2"/>
  <c r="N20" i="2"/>
  <c r="M20" i="2"/>
  <c r="L20" i="2"/>
  <c r="N19" i="2"/>
  <c r="M19" i="2"/>
  <c r="L19" i="2"/>
  <c r="N18" i="2"/>
  <c r="M18" i="2"/>
  <c r="L18" i="2"/>
  <c r="N17" i="2"/>
  <c r="M17" i="2"/>
  <c r="L17" i="2"/>
  <c r="N16" i="2"/>
  <c r="M16" i="2"/>
  <c r="L16" i="2"/>
  <c r="N15" i="2"/>
  <c r="M15" i="2"/>
  <c r="L15" i="2"/>
  <c r="N14" i="2"/>
  <c r="M14" i="2"/>
  <c r="L14" i="2"/>
  <c r="N13" i="2"/>
  <c r="M13" i="2"/>
  <c r="L13" i="2"/>
  <c r="N12" i="2"/>
  <c r="M12" i="2"/>
  <c r="L12" i="2"/>
  <c r="N11" i="2"/>
  <c r="M11" i="2"/>
  <c r="L11" i="2"/>
  <c r="N10" i="2"/>
  <c r="M10" i="2"/>
  <c r="L10" i="2"/>
  <c r="N9" i="2"/>
  <c r="M9" i="2"/>
  <c r="L9" i="2"/>
  <c r="N8" i="2"/>
  <c r="M8" i="2"/>
  <c r="L8" i="2"/>
  <c r="N7" i="2"/>
  <c r="M7" i="2"/>
  <c r="L7" i="2"/>
  <c r="N6" i="2"/>
  <c r="M6" i="2"/>
  <c r="L6" i="2"/>
  <c r="N5" i="2"/>
  <c r="M5" i="2"/>
  <c r="L5" i="2"/>
  <c r="N4" i="2"/>
  <c r="M4" i="2"/>
  <c r="L4" i="2"/>
  <c r="N3" i="2"/>
  <c r="M3" i="2"/>
  <c r="L3" i="2"/>
  <c r="N2" i="2"/>
  <c r="M2" i="2"/>
  <c r="L2" i="2"/>
  <c r="K197" i="2"/>
  <c r="K196" i="2"/>
  <c r="K195" i="2"/>
  <c r="K194" i="2"/>
  <c r="K193" i="2"/>
  <c r="K192" i="2"/>
  <c r="K191" i="2"/>
  <c r="K190" i="2"/>
  <c r="K189" i="2"/>
  <c r="K188" i="2"/>
  <c r="K187" i="2"/>
  <c r="K186" i="2"/>
  <c r="K185" i="2"/>
  <c r="K184" i="2"/>
  <c r="K183" i="2"/>
  <c r="K182" i="2"/>
  <c r="K181" i="2"/>
  <c r="K180" i="2"/>
  <c r="K179" i="2"/>
  <c r="K178" i="2"/>
  <c r="K177" i="2"/>
  <c r="K176" i="2"/>
  <c r="K175" i="2"/>
  <c r="K174" i="2"/>
  <c r="K173" i="2"/>
  <c r="K172" i="2"/>
  <c r="K171" i="2"/>
  <c r="K170" i="2"/>
  <c r="K169" i="2"/>
  <c r="K168" i="2"/>
  <c r="K167" i="2"/>
  <c r="K166" i="2"/>
  <c r="K165" i="2"/>
  <c r="K164" i="2"/>
  <c r="K163" i="2"/>
  <c r="K162" i="2"/>
  <c r="K161" i="2"/>
  <c r="K160" i="2"/>
  <c r="K159" i="2"/>
  <c r="K158" i="2"/>
  <c r="K157" i="2"/>
  <c r="K156" i="2"/>
  <c r="K155" i="2"/>
  <c r="K154" i="2"/>
  <c r="K153" i="2"/>
  <c r="K152" i="2"/>
  <c r="K151" i="2"/>
  <c r="K150" i="2"/>
  <c r="K149" i="2"/>
  <c r="K148" i="2"/>
  <c r="K147" i="2"/>
  <c r="K146" i="2"/>
  <c r="K145" i="2"/>
  <c r="K144" i="2"/>
  <c r="K143" i="2"/>
  <c r="K142" i="2"/>
  <c r="K141" i="2"/>
  <c r="K140" i="2"/>
  <c r="K139" i="2"/>
  <c r="K138" i="2"/>
  <c r="K137" i="2"/>
  <c r="K136" i="2"/>
  <c r="K135" i="2"/>
  <c r="K134" i="2"/>
  <c r="K133" i="2"/>
  <c r="K132" i="2"/>
  <c r="K131" i="2"/>
  <c r="K130" i="2"/>
  <c r="K129" i="2"/>
  <c r="K128" i="2"/>
  <c r="K127" i="2"/>
  <c r="K126" i="2"/>
  <c r="K125" i="2"/>
  <c r="K124" i="2"/>
  <c r="K123" i="2"/>
  <c r="K122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K2" i="2"/>
  <c r="R197" i="4"/>
  <c r="P197" i="4"/>
  <c r="R196" i="4"/>
  <c r="P196" i="4"/>
  <c r="R195" i="4"/>
  <c r="P195" i="4"/>
  <c r="R194" i="4"/>
  <c r="P194" i="4"/>
  <c r="R193" i="4"/>
  <c r="P193" i="4"/>
  <c r="R192" i="4"/>
  <c r="P192" i="4"/>
  <c r="R191" i="4"/>
  <c r="P191" i="4"/>
  <c r="R190" i="4"/>
  <c r="P190" i="4"/>
  <c r="R189" i="4"/>
  <c r="P189" i="4"/>
  <c r="R188" i="4"/>
  <c r="P188" i="4"/>
  <c r="R187" i="4"/>
  <c r="P187" i="4"/>
  <c r="R186" i="4"/>
  <c r="P186" i="4"/>
  <c r="R185" i="4"/>
  <c r="P185" i="4"/>
  <c r="R184" i="4"/>
  <c r="P184" i="4"/>
  <c r="R183" i="4"/>
  <c r="P183" i="4"/>
  <c r="R182" i="4"/>
  <c r="P182" i="4"/>
  <c r="R181" i="4"/>
  <c r="P181" i="4"/>
  <c r="R180" i="4"/>
  <c r="P180" i="4"/>
  <c r="R179" i="4"/>
  <c r="P179" i="4"/>
  <c r="R178" i="4"/>
  <c r="P178" i="4"/>
  <c r="R177" i="4"/>
  <c r="P177" i="4"/>
  <c r="R176" i="4"/>
  <c r="P176" i="4"/>
  <c r="R175" i="4"/>
  <c r="P175" i="4"/>
  <c r="R174" i="4"/>
  <c r="P174" i="4"/>
  <c r="R173" i="4"/>
  <c r="P173" i="4"/>
  <c r="R172" i="4"/>
  <c r="P172" i="4"/>
  <c r="R171" i="4"/>
  <c r="P171" i="4"/>
  <c r="R170" i="4"/>
  <c r="P170" i="4"/>
  <c r="R169" i="4"/>
  <c r="P169" i="4"/>
  <c r="R168" i="4"/>
  <c r="P168" i="4"/>
  <c r="R167" i="4"/>
  <c r="P167" i="4"/>
  <c r="R166" i="4"/>
  <c r="P166" i="4"/>
  <c r="R165" i="4"/>
  <c r="P165" i="4"/>
  <c r="R164" i="4"/>
  <c r="P164" i="4"/>
  <c r="R163" i="4"/>
  <c r="P163" i="4"/>
  <c r="R162" i="4"/>
  <c r="P162" i="4"/>
  <c r="R161" i="4"/>
  <c r="P161" i="4"/>
  <c r="R160" i="4"/>
  <c r="P160" i="4"/>
  <c r="R159" i="4"/>
  <c r="P159" i="4"/>
  <c r="R158" i="4"/>
  <c r="P158" i="4"/>
  <c r="R157" i="4"/>
  <c r="P157" i="4"/>
  <c r="R156" i="4"/>
  <c r="P156" i="4"/>
  <c r="R155" i="4"/>
  <c r="P155" i="4"/>
  <c r="R154" i="4"/>
  <c r="P154" i="4"/>
  <c r="R153" i="4"/>
  <c r="P153" i="4"/>
  <c r="R152" i="4"/>
  <c r="P152" i="4"/>
  <c r="R151" i="4"/>
  <c r="P151" i="4"/>
  <c r="R150" i="4"/>
  <c r="P150" i="4"/>
  <c r="R149" i="4"/>
  <c r="P149" i="4"/>
  <c r="R148" i="4"/>
  <c r="P148" i="4"/>
  <c r="R147" i="4"/>
  <c r="P147" i="4"/>
  <c r="R146" i="4"/>
  <c r="P146" i="4"/>
  <c r="R145" i="4"/>
  <c r="P145" i="4"/>
  <c r="R144" i="4"/>
  <c r="P144" i="4"/>
  <c r="R143" i="4"/>
  <c r="P143" i="4"/>
  <c r="R142" i="4"/>
  <c r="P142" i="4"/>
  <c r="R141" i="4"/>
  <c r="P141" i="4"/>
  <c r="R140" i="4"/>
  <c r="P140" i="4"/>
  <c r="R139" i="4"/>
  <c r="P139" i="4"/>
  <c r="R138" i="4"/>
  <c r="P138" i="4"/>
  <c r="R137" i="4"/>
  <c r="P137" i="4"/>
  <c r="R136" i="4"/>
  <c r="P136" i="4"/>
  <c r="R135" i="4"/>
  <c r="P135" i="4"/>
  <c r="R134" i="4"/>
  <c r="P134" i="4"/>
  <c r="R133" i="4"/>
  <c r="P133" i="4"/>
  <c r="R132" i="4"/>
  <c r="P132" i="4"/>
  <c r="R131" i="4"/>
  <c r="P131" i="4"/>
  <c r="R130" i="4"/>
  <c r="P130" i="4"/>
  <c r="R129" i="4"/>
  <c r="P129" i="4"/>
  <c r="R128" i="4"/>
  <c r="P128" i="4"/>
  <c r="R127" i="4"/>
  <c r="P127" i="4"/>
  <c r="R126" i="4"/>
  <c r="P126" i="4"/>
  <c r="R125" i="4"/>
  <c r="P125" i="4"/>
  <c r="R124" i="4"/>
  <c r="P124" i="4"/>
  <c r="R123" i="4"/>
  <c r="P123" i="4"/>
  <c r="R122" i="4"/>
  <c r="P122" i="4"/>
  <c r="R121" i="4"/>
  <c r="P121" i="4"/>
  <c r="R120" i="4"/>
  <c r="P120" i="4"/>
  <c r="R119" i="4"/>
  <c r="P119" i="4"/>
  <c r="R118" i="4"/>
  <c r="P118" i="4"/>
  <c r="R117" i="4"/>
  <c r="P117" i="4"/>
  <c r="R116" i="4"/>
  <c r="P116" i="4"/>
  <c r="R115" i="4"/>
  <c r="P115" i="4"/>
  <c r="R114" i="4"/>
  <c r="P114" i="4"/>
  <c r="R113" i="4"/>
  <c r="P113" i="4"/>
  <c r="R112" i="4"/>
  <c r="P112" i="4"/>
  <c r="R111" i="4"/>
  <c r="P111" i="4"/>
  <c r="R110" i="4"/>
  <c r="P110" i="4"/>
  <c r="R109" i="4"/>
  <c r="P109" i="4"/>
  <c r="R108" i="4"/>
  <c r="P108" i="4"/>
  <c r="R107" i="4"/>
  <c r="P107" i="4"/>
  <c r="R106" i="4"/>
  <c r="P106" i="4"/>
  <c r="R105" i="4"/>
  <c r="P105" i="4"/>
  <c r="R104" i="4"/>
  <c r="P104" i="4"/>
  <c r="R103" i="4"/>
  <c r="P103" i="4"/>
  <c r="R102" i="4"/>
  <c r="P102" i="4"/>
  <c r="R101" i="4"/>
  <c r="P101" i="4"/>
  <c r="R100" i="4"/>
  <c r="P100" i="4"/>
  <c r="R99" i="4"/>
  <c r="P99" i="4"/>
  <c r="R98" i="4"/>
  <c r="P98" i="4"/>
  <c r="R97" i="4"/>
  <c r="P97" i="4"/>
  <c r="R96" i="4"/>
  <c r="P96" i="4"/>
  <c r="R95" i="4"/>
  <c r="P95" i="4"/>
  <c r="R94" i="4"/>
  <c r="P94" i="4"/>
  <c r="R93" i="4"/>
  <c r="P93" i="4"/>
  <c r="R92" i="4"/>
  <c r="P92" i="4"/>
  <c r="R91" i="4"/>
  <c r="P91" i="4"/>
  <c r="R90" i="4"/>
  <c r="P90" i="4"/>
  <c r="R89" i="4"/>
  <c r="P89" i="4"/>
  <c r="R88" i="4"/>
  <c r="P88" i="4"/>
  <c r="R87" i="4"/>
  <c r="P87" i="4"/>
  <c r="R86" i="4"/>
  <c r="P86" i="4"/>
  <c r="R85" i="4"/>
  <c r="P85" i="4"/>
  <c r="R84" i="4"/>
  <c r="P84" i="4"/>
  <c r="R83" i="4"/>
  <c r="P83" i="4"/>
  <c r="R82" i="4"/>
  <c r="P82" i="4"/>
  <c r="R81" i="4"/>
  <c r="P81" i="4"/>
  <c r="R80" i="4"/>
  <c r="P80" i="4"/>
  <c r="R79" i="4"/>
  <c r="P79" i="4"/>
  <c r="R78" i="4"/>
  <c r="P78" i="4"/>
  <c r="R77" i="4"/>
  <c r="P77" i="4"/>
  <c r="R76" i="4"/>
  <c r="P76" i="4"/>
  <c r="R75" i="4"/>
  <c r="P75" i="4"/>
  <c r="R74" i="4"/>
  <c r="P74" i="4"/>
  <c r="R73" i="4"/>
  <c r="P73" i="4"/>
  <c r="R72" i="4"/>
  <c r="P72" i="4"/>
  <c r="R71" i="4"/>
  <c r="P71" i="4"/>
  <c r="R70" i="4"/>
  <c r="P70" i="4"/>
  <c r="R69" i="4"/>
  <c r="P69" i="4"/>
  <c r="R68" i="4"/>
  <c r="P68" i="4"/>
  <c r="R67" i="4"/>
  <c r="P67" i="4"/>
  <c r="R66" i="4"/>
  <c r="P66" i="4"/>
  <c r="R65" i="4"/>
  <c r="P65" i="4"/>
  <c r="R64" i="4"/>
  <c r="P64" i="4"/>
  <c r="R63" i="4"/>
  <c r="P63" i="4"/>
  <c r="R62" i="4"/>
  <c r="P62" i="4"/>
  <c r="R61" i="4"/>
  <c r="P61" i="4"/>
  <c r="R60" i="4"/>
  <c r="P60" i="4"/>
  <c r="R59" i="4"/>
  <c r="P59" i="4"/>
  <c r="R58" i="4"/>
  <c r="P58" i="4"/>
  <c r="R57" i="4"/>
  <c r="P57" i="4"/>
  <c r="R56" i="4"/>
  <c r="P56" i="4"/>
  <c r="R55" i="4"/>
  <c r="P55" i="4"/>
  <c r="R54" i="4"/>
  <c r="P54" i="4"/>
  <c r="R53" i="4"/>
  <c r="P53" i="4"/>
  <c r="R52" i="4"/>
  <c r="P52" i="4"/>
  <c r="R51" i="4"/>
  <c r="P51" i="4"/>
  <c r="R50" i="4"/>
  <c r="P50" i="4"/>
  <c r="R49" i="4"/>
  <c r="P49" i="4"/>
  <c r="R48" i="4"/>
  <c r="P48" i="4"/>
  <c r="R47" i="4"/>
  <c r="P47" i="4"/>
  <c r="R46" i="4"/>
  <c r="P46" i="4"/>
  <c r="R45" i="4"/>
  <c r="P45" i="4"/>
  <c r="R44" i="4"/>
  <c r="P44" i="4"/>
  <c r="R43" i="4"/>
  <c r="P43" i="4"/>
  <c r="R42" i="4"/>
  <c r="P42" i="4"/>
  <c r="R41" i="4"/>
  <c r="P41" i="4"/>
  <c r="R40" i="4"/>
  <c r="P40" i="4"/>
  <c r="H40" i="4"/>
  <c r="R39" i="4"/>
  <c r="P39" i="4"/>
  <c r="R38" i="4"/>
  <c r="P38" i="4"/>
  <c r="R37" i="4"/>
  <c r="P37" i="4"/>
  <c r="H37" i="4"/>
  <c r="G37" i="4" s="1"/>
  <c r="R36" i="4"/>
  <c r="P36" i="4"/>
  <c r="H36" i="4"/>
  <c r="G36" i="4" s="1"/>
  <c r="R35" i="4"/>
  <c r="P35" i="4"/>
  <c r="H35" i="4"/>
  <c r="G35" i="4" s="1"/>
  <c r="R34" i="4"/>
  <c r="P34" i="4"/>
  <c r="H34" i="4"/>
  <c r="G34" i="4" s="1"/>
  <c r="R33" i="4"/>
  <c r="P33" i="4"/>
  <c r="H33" i="4"/>
  <c r="G33" i="4" s="1"/>
  <c r="R32" i="4"/>
  <c r="P32" i="4"/>
  <c r="H32" i="4"/>
  <c r="G32" i="4" s="1"/>
  <c r="R31" i="4"/>
  <c r="P31" i="4"/>
  <c r="H31" i="4"/>
  <c r="G31" i="4" s="1"/>
  <c r="R30" i="4"/>
  <c r="P30" i="4"/>
  <c r="H30" i="4"/>
  <c r="H38" i="4" s="1"/>
  <c r="G38" i="4" s="1"/>
  <c r="R29" i="4"/>
  <c r="P29" i="4"/>
  <c r="R28" i="4"/>
  <c r="P28" i="4"/>
  <c r="R27" i="4"/>
  <c r="P27" i="4"/>
  <c r="R26" i="4"/>
  <c r="P26" i="4"/>
  <c r="R25" i="4"/>
  <c r="P25" i="4"/>
  <c r="G25" i="4"/>
  <c r="R24" i="4"/>
  <c r="P24" i="4"/>
  <c r="G24" i="4"/>
  <c r="R23" i="4"/>
  <c r="P23" i="4"/>
  <c r="G23" i="4"/>
  <c r="R22" i="4"/>
  <c r="P22" i="4"/>
  <c r="G22" i="4"/>
  <c r="R21" i="4"/>
  <c r="P21" i="4"/>
  <c r="G21" i="4"/>
  <c r="G26" i="4" s="1"/>
  <c r="R20" i="4"/>
  <c r="P20" i="4"/>
  <c r="G20" i="4"/>
  <c r="R19" i="4"/>
  <c r="P19" i="4"/>
  <c r="G19" i="4"/>
  <c r="R18" i="4"/>
  <c r="P18" i="4"/>
  <c r="G18" i="4"/>
  <c r="R17" i="4"/>
  <c r="P17" i="4"/>
  <c r="R16" i="4"/>
  <c r="P16" i="4"/>
  <c r="R15" i="4"/>
  <c r="P15" i="4"/>
  <c r="R14" i="4"/>
  <c r="P14" i="4"/>
  <c r="H14" i="4"/>
  <c r="G14" i="4"/>
  <c r="R13" i="4"/>
  <c r="P13" i="4"/>
  <c r="H13" i="4"/>
  <c r="G13" i="4"/>
  <c r="R12" i="4"/>
  <c r="P12" i="4"/>
  <c r="H12" i="4"/>
  <c r="G12" i="4"/>
  <c r="R11" i="4"/>
  <c r="P11" i="4"/>
  <c r="H11" i="4"/>
  <c r="G11" i="4"/>
  <c r="R10" i="4"/>
  <c r="P10" i="4"/>
  <c r="H10" i="4"/>
  <c r="G10" i="4"/>
  <c r="R9" i="4"/>
  <c r="P9" i="4"/>
  <c r="H9" i="4"/>
  <c r="G9" i="4"/>
  <c r="R8" i="4"/>
  <c r="P8" i="4"/>
  <c r="H8" i="4"/>
  <c r="G8" i="4"/>
  <c r="R7" i="4"/>
  <c r="P7" i="4"/>
  <c r="H7" i="4"/>
  <c r="H15" i="4" s="1"/>
  <c r="G7" i="4"/>
  <c r="G15" i="4" s="1"/>
  <c r="R6" i="4"/>
  <c r="P6" i="4"/>
  <c r="R5" i="4"/>
  <c r="P5" i="4"/>
  <c r="R4" i="4"/>
  <c r="P4" i="4"/>
  <c r="G4" i="4"/>
  <c r="R3" i="4"/>
  <c r="P3" i="4"/>
  <c r="R2" i="4"/>
  <c r="P2" i="4"/>
  <c r="R2" i="2" l="1"/>
  <c r="H24" i="4"/>
  <c r="H25" i="4"/>
  <c r="G30" i="4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H40" i="2"/>
  <c r="H9" i="2"/>
  <c r="G20" i="2"/>
  <c r="G9" i="2"/>
  <c r="H11" i="2"/>
  <c r="G11" i="2"/>
  <c r="G22" i="2"/>
  <c r="G4" i="2" l="1"/>
  <c r="H31" i="2"/>
  <c r="H32" i="2"/>
  <c r="G32" i="2" s="1"/>
  <c r="H33" i="2"/>
  <c r="H34" i="2"/>
  <c r="G34" i="2" s="1"/>
  <c r="H35" i="2"/>
  <c r="G35" i="2" s="1"/>
  <c r="H36" i="2"/>
  <c r="G36" i="2" s="1"/>
  <c r="H37" i="2"/>
  <c r="G37" i="2" s="1"/>
  <c r="G30" i="2"/>
  <c r="G25" i="2"/>
  <c r="G24" i="2"/>
  <c r="G23" i="2"/>
  <c r="G21" i="2"/>
  <c r="G19" i="2"/>
  <c r="G18" i="2"/>
  <c r="H14" i="2"/>
  <c r="H13" i="2"/>
  <c r="H12" i="2"/>
  <c r="H10" i="2"/>
  <c r="H8" i="2"/>
  <c r="H7" i="2"/>
  <c r="G14" i="2"/>
  <c r="G13" i="2"/>
  <c r="G12" i="2"/>
  <c r="G10" i="2"/>
  <c r="G8" i="2"/>
  <c r="G7" i="2"/>
  <c r="G31" i="2" l="1"/>
  <c r="G33" i="2"/>
  <c r="H24" i="2"/>
  <c r="H25" i="2"/>
  <c r="H38" i="2"/>
  <c r="G38" i="2" s="1"/>
  <c r="G26" i="2"/>
  <c r="H15" i="2"/>
  <c r="G15" i="2"/>
</calcChain>
</file>

<file path=xl/sharedStrings.xml><?xml version="1.0" encoding="utf-8"?>
<sst xmlns="http://schemas.openxmlformats.org/spreadsheetml/2006/main" count="943" uniqueCount="387">
  <si>
    <t>QB</t>
  </si>
  <si>
    <t>RB</t>
  </si>
  <si>
    <t>WR</t>
  </si>
  <si>
    <t>TE</t>
  </si>
  <si>
    <t>DEF</t>
  </si>
  <si>
    <t>K</t>
  </si>
  <si>
    <t>POS</t>
  </si>
  <si>
    <t>MIN #</t>
  </si>
  <si>
    <t>MAX #</t>
  </si>
  <si>
    <t>WHO TO DRAFT</t>
  </si>
  <si>
    <t>Player</t>
  </si>
  <si>
    <t>Cost</t>
  </si>
  <si>
    <t>Draft Budget:</t>
  </si>
  <si>
    <t>Bench Reserve:</t>
  </si>
  <si>
    <t>Starter Budget:</t>
  </si>
  <si>
    <t>PROJ PTS</t>
  </si>
  <si>
    <t>COST $</t>
  </si>
  <si>
    <t>SUM</t>
  </si>
  <si>
    <t>RBX</t>
  </si>
  <si>
    <t>TOTAL</t>
  </si>
  <si>
    <t>SOLVER</t>
  </si>
  <si>
    <t>WRX</t>
  </si>
  <si>
    <t>BINARY SELECTOR</t>
  </si>
  <si>
    <t>Fpros Proj Pts</t>
  </si>
  <si>
    <t>Aaron Rodgers</t>
  </si>
  <si>
    <t>Drew Brees</t>
  </si>
  <si>
    <t>Peyton Manning</t>
  </si>
  <si>
    <t>Cam Newton</t>
  </si>
  <si>
    <t>Tom Brady</t>
  </si>
  <si>
    <t>Matt Ryan</t>
  </si>
  <si>
    <t>Colin Kaepernick</t>
  </si>
  <si>
    <t>Andrew Luck</t>
  </si>
  <si>
    <t>Matthew Stafford</t>
  </si>
  <si>
    <t>Robert Griffin III</t>
  </si>
  <si>
    <t>Russell Wilson</t>
  </si>
  <si>
    <t>Tony Romo</t>
  </si>
  <si>
    <t>Eli Manning</t>
  </si>
  <si>
    <t>Andy Dalton</t>
  </si>
  <si>
    <t>Ben Roethlisberger</t>
  </si>
  <si>
    <t>Jay Cutler</t>
  </si>
  <si>
    <t>Joe Flacco</t>
  </si>
  <si>
    <t>Philip Rivers</t>
  </si>
  <si>
    <t>Alex Smith</t>
  </si>
  <si>
    <t>Carson Palmer</t>
  </si>
  <si>
    <t>Ryan Tannehill</t>
  </si>
  <si>
    <t>Adrian Peterson</t>
  </si>
  <si>
    <t>Arian Foster</t>
  </si>
  <si>
    <t>Doug Martin</t>
  </si>
  <si>
    <t>Jamaal Charles</t>
  </si>
  <si>
    <t>C.J. Spiller</t>
  </si>
  <si>
    <t>Ray Rice</t>
  </si>
  <si>
    <t>Trent Richardson</t>
  </si>
  <si>
    <t>LeSean McCoy</t>
  </si>
  <si>
    <t>Marshawn Lynch</t>
  </si>
  <si>
    <t>Matt Forte</t>
  </si>
  <si>
    <t>Alfred Morris</t>
  </si>
  <si>
    <t>Reggie Bush</t>
  </si>
  <si>
    <t>Steven Jackson</t>
  </si>
  <si>
    <t>Chris Johnson</t>
  </si>
  <si>
    <t>Maurice Jones-Drew</t>
  </si>
  <si>
    <t>DeMarco Murray</t>
  </si>
  <si>
    <t>Darren Sproles</t>
  </si>
  <si>
    <t>Stevan Ridley</t>
  </si>
  <si>
    <t>Darren McFadden</t>
  </si>
  <si>
    <t>Lamar Miller</t>
  </si>
  <si>
    <t>Frank Gore</t>
  </si>
  <si>
    <t>Le'Veon Bell</t>
  </si>
  <si>
    <t>Montee Ball</t>
  </si>
  <si>
    <t>Shane Vereen</t>
  </si>
  <si>
    <t>Ryan Mathews</t>
  </si>
  <si>
    <t>Eddie Lacy</t>
  </si>
  <si>
    <t>Giovani Bernard</t>
  </si>
  <si>
    <t>DeAngelo Williams</t>
  </si>
  <si>
    <t>Jonathan Stewart</t>
  </si>
  <si>
    <t>Mark Ingram</t>
  </si>
  <si>
    <t>Fred Jackson</t>
  </si>
  <si>
    <t>Bernard Pierce</t>
  </si>
  <si>
    <t>Ben Tate</t>
  </si>
  <si>
    <t>Shonn Greene</t>
  </si>
  <si>
    <t>Zac Stacy</t>
  </si>
  <si>
    <t>Knowshon Moreno</t>
  </si>
  <si>
    <t>Jimmy Graham</t>
  </si>
  <si>
    <t>Jason Witten</t>
  </si>
  <si>
    <t>Greg Olsen</t>
  </si>
  <si>
    <t>Jared Cook</t>
  </si>
  <si>
    <t>Martellus Bennett</t>
  </si>
  <si>
    <t>Jordan Cameron</t>
  </si>
  <si>
    <t>Dwayne Allen</t>
  </si>
  <si>
    <t>Heath Miller</t>
  </si>
  <si>
    <t>Calvin Johnson</t>
  </si>
  <si>
    <t>Brandon Marshall</t>
  </si>
  <si>
    <t>Dez Bryant</t>
  </si>
  <si>
    <t>A.J. Green</t>
  </si>
  <si>
    <t>Julio Jones</t>
  </si>
  <si>
    <t>Demaryius Thomas</t>
  </si>
  <si>
    <t>Andre Johnson</t>
  </si>
  <si>
    <t>Randall Cobb</t>
  </si>
  <si>
    <t>Roddy White</t>
  </si>
  <si>
    <t>Larry Fitzgerald</t>
  </si>
  <si>
    <t>Victor Cruz</t>
  </si>
  <si>
    <t>Vincent Jackson</t>
  </si>
  <si>
    <t>Reggie Wayne</t>
  </si>
  <si>
    <t>Marques Colston</t>
  </si>
  <si>
    <t>Wes Welker</t>
  </si>
  <si>
    <t>Dwayne Bowe</t>
  </si>
  <si>
    <t>Pierre Garcon</t>
  </si>
  <si>
    <t>Danny Amendola</t>
  </si>
  <si>
    <t>Eric Decker</t>
  </si>
  <si>
    <t>Antonio Brown</t>
  </si>
  <si>
    <t>Jordy Nelson</t>
  </si>
  <si>
    <t>Torrey Smith</t>
  </si>
  <si>
    <t>Hakeem Nicks</t>
  </si>
  <si>
    <t>Mike Wallace</t>
  </si>
  <si>
    <t>Cecil Shorts</t>
  </si>
  <si>
    <t>James Jones</t>
  </si>
  <si>
    <t>Steve Smith</t>
  </si>
  <si>
    <t>DeSean Jackson</t>
  </si>
  <si>
    <t>T.Y. Hilton</t>
  </si>
  <si>
    <t>Tavon Austin</t>
  </si>
  <si>
    <t>Greg Jennings</t>
  </si>
  <si>
    <t>Anquan Boldin</t>
  </si>
  <si>
    <t>Michael Floyd</t>
  </si>
  <si>
    <t>Emmanuel Sanders</t>
  </si>
  <si>
    <t>Golden Tate</t>
  </si>
  <si>
    <t>Kendall Wright</t>
  </si>
  <si>
    <t>Brian Hartline</t>
  </si>
  <si>
    <t>Alshon Jeffery</t>
  </si>
  <si>
    <t>Rueben Randle</t>
  </si>
  <si>
    <t>DeAndre Hopkins</t>
  </si>
  <si>
    <t>Cordarrelle Patterson</t>
  </si>
  <si>
    <t>Arizona</t>
  </si>
  <si>
    <t>Atlanta</t>
  </si>
  <si>
    <t>Baltimore</t>
  </si>
  <si>
    <t>Buffalo</t>
  </si>
  <si>
    <t>Carolina</t>
  </si>
  <si>
    <t>Chicago</t>
  </si>
  <si>
    <t>Cincinnati</t>
  </si>
  <si>
    <t>Cleveland</t>
  </si>
  <si>
    <t>Dallas</t>
  </si>
  <si>
    <t>Denver</t>
  </si>
  <si>
    <t>Green Bay</t>
  </si>
  <si>
    <t>Houston</t>
  </si>
  <si>
    <t>Indianapolis</t>
  </si>
  <si>
    <t>Kansas City</t>
  </si>
  <si>
    <t>Miami</t>
  </si>
  <si>
    <t>Minnesota</t>
  </si>
  <si>
    <t>New England</t>
  </si>
  <si>
    <t>New Orleans</t>
  </si>
  <si>
    <t>New York G</t>
  </si>
  <si>
    <t>Pittsburgh</t>
  </si>
  <si>
    <t>San Diego</t>
  </si>
  <si>
    <t>San Francisco</t>
  </si>
  <si>
    <t>Seattle</t>
  </si>
  <si>
    <t>St. Louis</t>
  </si>
  <si>
    <t>Tampa Bay</t>
  </si>
  <si>
    <t>Tennessee</t>
  </si>
  <si>
    <t>Washington</t>
  </si>
  <si>
    <t>Matt Bryant</t>
  </si>
  <si>
    <t>Stephen Gostkowski</t>
  </si>
  <si>
    <t>Blair Walsh</t>
  </si>
  <si>
    <t>Matt Prater</t>
  </si>
  <si>
    <t>Justin Tucker</t>
  </si>
  <si>
    <t>Josh Brown</t>
  </si>
  <si>
    <t>David Akers</t>
  </si>
  <si>
    <t>Lawrence Tynes</t>
  </si>
  <si>
    <t>Sebastian Janikowski</t>
  </si>
  <si>
    <t>Dan Bailey</t>
  </si>
  <si>
    <t>Mason Crosby</t>
  </si>
  <si>
    <t>Greg Zuerlein</t>
  </si>
  <si>
    <t>Steven Hauschka</t>
  </si>
  <si>
    <t>Mike Nugent</t>
  </si>
  <si>
    <t>Garrett Hartley</t>
  </si>
  <si>
    <t>Robbie Gould</t>
  </si>
  <si>
    <t>Adam Vinatieri</t>
  </si>
  <si>
    <t>SOLVER VALUES</t>
  </si>
  <si>
    <t>DRAFTED</t>
  </si>
  <si>
    <t># DRAFTED</t>
  </si>
  <si>
    <t>Risk</t>
  </si>
  <si>
    <t># Left To Draft:</t>
  </si>
  <si>
    <t>TOTAL PTS</t>
  </si>
  <si>
    <t>DRAFTED?  (Enter "1")</t>
  </si>
  <si>
    <t>Solver Drafted Check</t>
  </si>
  <si>
    <t>Nick Foles</t>
  </si>
  <si>
    <t>Jake Locker</t>
  </si>
  <si>
    <t>Josh McCown</t>
  </si>
  <si>
    <t>EJ Manuel</t>
  </si>
  <si>
    <t>Andre Ellington</t>
  </si>
  <si>
    <t>Toby Gerhart</t>
  </si>
  <si>
    <t>Joique Bell</t>
  </si>
  <si>
    <t>Rashad Jennings</t>
  </si>
  <si>
    <t>Pierre Thomas</t>
  </si>
  <si>
    <t>Danny Woodhead</t>
  </si>
  <si>
    <t>Bishop Sankey</t>
  </si>
  <si>
    <t>Dexter McCluster</t>
  </si>
  <si>
    <t>Terrance West</t>
  </si>
  <si>
    <t>Devonta Freeman</t>
  </si>
  <si>
    <t>Jeremy Hill</t>
  </si>
  <si>
    <t>Carlos Hyde</t>
  </si>
  <si>
    <t>Andre Williams</t>
  </si>
  <si>
    <t>Lance Dunbar</t>
  </si>
  <si>
    <t>Julius Thomas</t>
  </si>
  <si>
    <t>Rob Gronkowski</t>
  </si>
  <si>
    <t>Dennis Pitta</t>
  </si>
  <si>
    <t>Jordan Reed</t>
  </si>
  <si>
    <t>Zach Ertz</t>
  </si>
  <si>
    <t>Charles Clay</t>
  </si>
  <si>
    <t>Delanie Walker</t>
  </si>
  <si>
    <t>Ladarius Green</t>
  </si>
  <si>
    <t>Eric Ebron</t>
  </si>
  <si>
    <t>Garrett Graham</t>
  </si>
  <si>
    <t>Tyler Eifert</t>
  </si>
  <si>
    <t>Michael Crabtree</t>
  </si>
  <si>
    <t>Keenan Allen</t>
  </si>
  <si>
    <t>Percy Harvin</t>
  </si>
  <si>
    <t>Julian Edelman</t>
  </si>
  <si>
    <t>Jeremy Maclin</t>
  </si>
  <si>
    <t>Terrance Williams</t>
  </si>
  <si>
    <t>Sammy Watkins</t>
  </si>
  <si>
    <t>Kelvin Benjamin</t>
  </si>
  <si>
    <t>Mike Evans</t>
  </si>
  <si>
    <t>Harry Douglas</t>
  </si>
  <si>
    <t>Riley Cooper</t>
  </si>
  <si>
    <t>Brandin Cooks</t>
  </si>
  <si>
    <t>Jarrett Boykin</t>
  </si>
  <si>
    <t>Doug Baldwin</t>
  </si>
  <si>
    <t>Justin Hunter</t>
  </si>
  <si>
    <t>Markus Wheaton</t>
  </si>
  <si>
    <t>Andrew Hawkins</t>
  </si>
  <si>
    <t>ORIGINAL VALUES</t>
  </si>
  <si>
    <t>115% VALUES</t>
  </si>
  <si>
    <t>Pts/$</t>
  </si>
  <si>
    <t>A.J. GREEN</t>
  </si>
  <si>
    <t>CIN</t>
  </si>
  <si>
    <t>AARON RODGERS</t>
  </si>
  <si>
    <t>ADRIAN PETERSON</t>
  </si>
  <si>
    <t>ALEX SMITH</t>
  </si>
  <si>
    <t>ALFRED BLUE</t>
  </si>
  <si>
    <t>ALFRED MORRIS</t>
  </si>
  <si>
    <t>ALLEN ROBINSON</t>
  </si>
  <si>
    <t>ALSHON JEFFERY</t>
  </si>
  <si>
    <t>AMARI COOPER</t>
  </si>
  <si>
    <t>AMEER ABDULLAH</t>
  </si>
  <si>
    <t>ANDRE ELLINGTON</t>
  </si>
  <si>
    <t>ANDRE JOHNSON</t>
  </si>
  <si>
    <t>ANDREW LUCK</t>
  </si>
  <si>
    <t>ANDY DALTON</t>
  </si>
  <si>
    <t>ANQUAN BOLDIN</t>
  </si>
  <si>
    <t>ANTONIO BROWN</t>
  </si>
  <si>
    <t>ANTONIO GATES</t>
  </si>
  <si>
    <t>ARIAN FOSTER</t>
  </si>
  <si>
    <t>AUSTIN SEFERIAN-JENKINS</t>
  </si>
  <si>
    <t>BEN ROETHLISBERGER</t>
  </si>
  <si>
    <t>BISHOP SANKEY</t>
  </si>
  <si>
    <t>BLAKE BORTLES</t>
  </si>
  <si>
    <t>BRANDIN COOKS</t>
  </si>
  <si>
    <t>BRANDON LAFELL</t>
  </si>
  <si>
    <t>BRANDON MARSHALL</t>
  </si>
  <si>
    <t>BRESHAD PERRIMAN</t>
  </si>
  <si>
    <t>BRIAN QUICK</t>
  </si>
  <si>
    <t>C.J. ANDERSON</t>
  </si>
  <si>
    <t>C.J. SPILLER</t>
  </si>
  <si>
    <t>CALVIN JOHNSON</t>
  </si>
  <si>
    <t>CAM NEWTON</t>
  </si>
  <si>
    <t>CARLOS HYDE</t>
  </si>
  <si>
    <t>CARSON PALMER</t>
  </si>
  <si>
    <t>CHARLES CLAY</t>
  </si>
  <si>
    <t>CHARLES JOHNSON</t>
  </si>
  <si>
    <t>CHARLES SIMS</t>
  </si>
  <si>
    <t>COBY FLEENER</t>
  </si>
  <si>
    <t>COLIN KAEPERNICK</t>
  </si>
  <si>
    <t>DANNY WOODHEAD</t>
  </si>
  <si>
    <t>DARREN MCFADDEN</t>
  </si>
  <si>
    <t>DARREN SPROLES</t>
  </si>
  <si>
    <t>DAVANTE ADAMS</t>
  </si>
  <si>
    <t>DAVID COBB</t>
  </si>
  <si>
    <t>DEANDRE HOPKINS</t>
  </si>
  <si>
    <t>DELANIE WALKER</t>
  </si>
  <si>
    <t>DEMARCO MURRAY</t>
  </si>
  <si>
    <t>DEMARYIUS THOMAS</t>
  </si>
  <si>
    <t>DESEAN JACKSON</t>
  </si>
  <si>
    <t>DEVIN FUNCHESS</t>
  </si>
  <si>
    <t>DEVONTA FREEMAN</t>
  </si>
  <si>
    <t>DEZ BRYANT</t>
  </si>
  <si>
    <t>DOUG BALDWIN</t>
  </si>
  <si>
    <t>DOUG MARTIN</t>
  </si>
  <si>
    <t>DREW BREES</t>
  </si>
  <si>
    <t>DUKE JOHNSON</t>
  </si>
  <si>
    <t>DWAYNE ALLEN</t>
  </si>
  <si>
    <t>DWAYNE BOWE</t>
  </si>
  <si>
    <t>EDDIE LACY</t>
  </si>
  <si>
    <t>EDDIE ROYAL</t>
  </si>
  <si>
    <t>ELI MANNING</t>
  </si>
  <si>
    <t>EMMANUEL SANDERS</t>
  </si>
  <si>
    <t>ERIC DECKER</t>
  </si>
  <si>
    <t>FRANK GORE</t>
  </si>
  <si>
    <t>GIOVANI BERNARD</t>
  </si>
  <si>
    <t>GOLDEN TATE</t>
  </si>
  <si>
    <t>GREG OLSEN</t>
  </si>
  <si>
    <t>HEATH MILLER</t>
  </si>
  <si>
    <t>ISAIAH CROWELL</t>
  </si>
  <si>
    <t>JAMAAL CHARLES</t>
  </si>
  <si>
    <t>JAMEIS WINSTON</t>
  </si>
  <si>
    <t>JARVIS LANDRY</t>
  </si>
  <si>
    <t>JASON WITTEN</t>
  </si>
  <si>
    <t>JAY CUTLER</t>
  </si>
  <si>
    <t>JEREMY HILL</t>
  </si>
  <si>
    <t>JEREMY MACLIN</t>
  </si>
  <si>
    <t>JIMMY GRAHAM</t>
  </si>
  <si>
    <t>JOE FLACCO</t>
  </si>
  <si>
    <t>JOHN BROWN</t>
  </si>
  <si>
    <t>JOIQUE BELL</t>
  </si>
  <si>
    <t>JONATHAN STEWART</t>
  </si>
  <si>
    <t>JORDAN CAMERON</t>
  </si>
  <si>
    <t>JORDAN MATTHEWS</t>
  </si>
  <si>
    <t>JORDAN REED</t>
  </si>
  <si>
    <t>JOSEPH RANDLE</t>
  </si>
  <si>
    <t>JULIAN EDELMAN</t>
  </si>
  <si>
    <t>JULIO JONES</t>
  </si>
  <si>
    <t>JULIUS THOMAS</t>
  </si>
  <si>
    <t>JUSTIN FORSETT</t>
  </si>
  <si>
    <t>KEENAN ALLEN</t>
  </si>
  <si>
    <t>KENDALL WRIGHT</t>
  </si>
  <si>
    <t>KENNY BRITT</t>
  </si>
  <si>
    <t>KENNY STILLS</t>
  </si>
  <si>
    <t>KNILE DAVIS</t>
  </si>
  <si>
    <t>KYLE RUDOLPH</t>
  </si>
  <si>
    <t>LAMAR MILLER</t>
  </si>
  <si>
    <t>LARRY FITZGERALD</t>
  </si>
  <si>
    <t>LATAVIUS MURRAY</t>
  </si>
  <si>
    <t>LE'VEON BELL</t>
  </si>
  <si>
    <t>LEGARRETTE BLOUNT</t>
  </si>
  <si>
    <t>LESEAN MCCOY</t>
  </si>
  <si>
    <t>LORENZO TALIAFERRO</t>
  </si>
  <si>
    <t>MALCOM FLOYD</t>
  </si>
  <si>
    <t>MARCUS MARIOTA</t>
  </si>
  <si>
    <t>MARK INGRAM</t>
  </si>
  <si>
    <t>MARQUES COLSTON</t>
  </si>
  <si>
    <t>MARSHAWN LYNCH</t>
  </si>
  <si>
    <t>MARTAVIS BRYANT</t>
  </si>
  <si>
    <t>MARTELLUS BENNETT</t>
  </si>
  <si>
    <t>MATT FORTE</t>
  </si>
  <si>
    <t>MATT RYAN</t>
  </si>
  <si>
    <t>MATTHEW STAFFORD</t>
  </si>
  <si>
    <t>MELVIN GORDON</t>
  </si>
  <si>
    <t>MICHAEL CRABTREE</t>
  </si>
  <si>
    <t>MICHAEL FLOYD</t>
  </si>
  <si>
    <t>MIKE EVANS</t>
  </si>
  <si>
    <t>MIKE WALLACE</t>
  </si>
  <si>
    <t>NELSON AGHOLOR</t>
  </si>
  <si>
    <t>ODELL BECKHAM</t>
  </si>
  <si>
    <t>OWEN DANIELS</t>
  </si>
  <si>
    <t>PERCY HARVIN</t>
  </si>
  <si>
    <t>PEYTON MANNING</t>
  </si>
  <si>
    <t>PHILIP RIVERS</t>
  </si>
  <si>
    <t>PIERRE GARCON</t>
  </si>
  <si>
    <t>RANDALL COBB</t>
  </si>
  <si>
    <t>RASHAD JENNINGS</t>
  </si>
  <si>
    <t>REGGIE BUSH</t>
  </si>
  <si>
    <t>ROB GRONKOWSKI</t>
  </si>
  <si>
    <t>RODDY WHITE</t>
  </si>
  <si>
    <t>ROY HELU</t>
  </si>
  <si>
    <t>RUEBEN RANDLE</t>
  </si>
  <si>
    <t>RUSSELL WILSON</t>
  </si>
  <si>
    <t>RYAN MATHEWS</t>
  </si>
  <si>
    <t>RYAN TANNEHILL</t>
  </si>
  <si>
    <t>SAM BRADFORD</t>
  </si>
  <si>
    <t>SAMMY WATKINS</t>
  </si>
  <si>
    <t>SHANE VEREEN</t>
  </si>
  <si>
    <t>STEVE SMITH</t>
  </si>
  <si>
    <t>T.J. YELDON</t>
  </si>
  <si>
    <t>T.Y. HILTON</t>
  </si>
  <si>
    <t>TEDDY BRIDGEWATER</t>
  </si>
  <si>
    <t>TERRANCE WILLIAMS</t>
  </si>
  <si>
    <t>TEVIN COLEMAN</t>
  </si>
  <si>
    <t>TODD GURLEY</t>
  </si>
  <si>
    <t>TOM BRADY</t>
  </si>
  <si>
    <t>TONY ROMO</t>
  </si>
  <si>
    <t>TORREY SMITH</t>
  </si>
  <si>
    <t>TRAVIS KELCE</t>
  </si>
  <si>
    <t>TRE MASON</t>
  </si>
  <si>
    <t>TYLER EIFERT</t>
  </si>
  <si>
    <t>VICTOR CRUZ</t>
  </si>
  <si>
    <t>VINCENT JACKSON</t>
  </si>
  <si>
    <t>ZACH ERTZ</t>
  </si>
  <si>
    <t>FPT</t>
  </si>
  <si>
    <t>COST</t>
  </si>
  <si>
    <t>DRAFTED?     (ENTER 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</si>
</sst>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44" formatCode="_(&quot;$&quot;* #,##0.00_);_(&quot;$&quot;* \(#,##0.00\);_(&quot;$&quot;* &quot;-&quot;??_);_(@_)"/>
    <numFmt numFmtId="165" formatCode="&quot;$&quot;#,##0.00"/>
    <numFmt numFmtId="166" formatCode="0.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1"/>
      <scheme val="minor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8"/>
      <color rgb="FFC00000"/>
      <name val="Calibri"/>
      <family val="2"/>
      <scheme val="minor"/>
    </font>
    <font>
      <b/>
      <sz val="16"/>
      <color theme="6" tint="-0.49998474074526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rgb="FF7030A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9">
    <xf numFmtId="0" fontId="0" fillId="0" borderId="0" xfId="0"/>
    <xf numFmtId="0" fontId="19" fillId="0" borderId="26" xfId="0" applyFont="1" applyFill="1" applyBorder="1" applyAlignment="1">
      <alignment horizontal="center" wrapText="1"/>
    </xf>
    <xf numFmtId="0" fontId="19" fillId="0" borderId="24" xfId="0" applyFont="1" applyFill="1" applyBorder="1" applyAlignment="1">
      <alignment horizontal="center" wrapText="1"/>
    </xf>
    <xf numFmtId="0" fontId="19" fillId="0" borderId="25" xfId="0" applyFont="1" applyFill="1" applyBorder="1" applyAlignment="1">
      <alignment wrapText="1"/>
    </xf>
    <xf numFmtId="0" fontId="0" fillId="0" borderId="0" xfId="0" applyFill="1" applyAlignment="1">
      <alignment horizontal="center"/>
    </xf>
    <xf numFmtId="0" fontId="0" fillId="0" borderId="0" xfId="0"/>
    <xf numFmtId="0" fontId="20" fillId="0" borderId="0" xfId="0" applyFont="1" applyFill="1" applyBorder="1"/>
    <xf numFmtId="0" fontId="0" fillId="0" borderId="0" xfId="0" applyFill="1" applyBorder="1"/>
    <xf numFmtId="0" fontId="0" fillId="0" borderId="0" xfId="0" applyFill="1"/>
    <xf numFmtId="0" fontId="0" fillId="0" borderId="0" xfId="0" applyFill="1" applyAlignment="1">
      <alignment horizontal="left"/>
    </xf>
    <xf numFmtId="0" fontId="21" fillId="0" borderId="26" xfId="0" applyFont="1" applyFill="1" applyBorder="1" applyAlignment="1">
      <alignment wrapText="1"/>
    </xf>
    <xf numFmtId="6" fontId="22" fillId="0" borderId="22" xfId="1" applyNumberFormat="1" applyFont="1" applyFill="1" applyBorder="1"/>
    <xf numFmtId="0" fontId="21" fillId="0" borderId="0" xfId="0" applyFont="1" applyFill="1" applyBorder="1" applyAlignment="1">
      <alignment horizontal="center"/>
    </xf>
    <xf numFmtId="0" fontId="22" fillId="0" borderId="0" xfId="0" applyFont="1" applyFill="1"/>
    <xf numFmtId="0" fontId="16" fillId="33" borderId="12" xfId="0" applyFont="1" applyFill="1" applyBorder="1"/>
    <xf numFmtId="0" fontId="0" fillId="33" borderId="14" xfId="0" applyFill="1" applyBorder="1" applyAlignment="1">
      <alignment horizontal="center"/>
    </xf>
    <xf numFmtId="0" fontId="0" fillId="34" borderId="0" xfId="0" applyFill="1"/>
    <xf numFmtId="0" fontId="16" fillId="34" borderId="0" xfId="0" applyFont="1" applyFill="1" applyBorder="1" applyAlignment="1">
      <alignment horizontal="center"/>
    </xf>
    <xf numFmtId="0" fontId="16" fillId="33" borderId="15" xfId="0" applyFont="1" applyFill="1" applyBorder="1" applyAlignment="1">
      <alignment horizontal="left"/>
    </xf>
    <xf numFmtId="44" fontId="16" fillId="33" borderId="16" xfId="1" applyFont="1" applyFill="1" applyBorder="1" applyAlignment="1">
      <alignment horizontal="center"/>
    </xf>
    <xf numFmtId="0" fontId="16" fillId="33" borderId="19" xfId="0" applyFont="1" applyFill="1" applyBorder="1" applyAlignment="1">
      <alignment horizontal="left"/>
    </xf>
    <xf numFmtId="44" fontId="16" fillId="33" borderId="20" xfId="0" applyNumberFormat="1" applyFont="1" applyFill="1" applyBorder="1"/>
    <xf numFmtId="0" fontId="18" fillId="33" borderId="11" xfId="0" applyFont="1" applyFill="1" applyBorder="1" applyAlignment="1">
      <alignment horizontal="center"/>
    </xf>
    <xf numFmtId="0" fontId="16" fillId="33" borderId="14" xfId="0" applyFont="1" applyFill="1" applyBorder="1"/>
    <xf numFmtId="0" fontId="0" fillId="33" borderId="17" xfId="0" applyFill="1" applyBorder="1" applyAlignment="1">
      <alignment horizontal="left"/>
    </xf>
    <xf numFmtId="0" fontId="0" fillId="33" borderId="0" xfId="0" applyFill="1" applyBorder="1" applyAlignment="1">
      <alignment horizontal="left"/>
    </xf>
    <xf numFmtId="0" fontId="0" fillId="33" borderId="18" xfId="0" applyFill="1" applyBorder="1" applyAlignment="1">
      <alignment horizontal="left"/>
    </xf>
    <xf numFmtId="0" fontId="0" fillId="33" borderId="12" xfId="0" applyFill="1" applyBorder="1" applyAlignment="1">
      <alignment horizontal="center"/>
    </xf>
    <xf numFmtId="0" fontId="0" fillId="33" borderId="13" xfId="0" applyFill="1" applyBorder="1" applyAlignment="1">
      <alignment horizontal="center"/>
    </xf>
    <xf numFmtId="0" fontId="0" fillId="33" borderId="14" xfId="0" applyFill="1" applyBorder="1"/>
    <xf numFmtId="0" fontId="16" fillId="33" borderId="12" xfId="0" applyFont="1" applyFill="1" applyBorder="1" applyAlignment="1">
      <alignment horizontal="center"/>
    </xf>
    <xf numFmtId="0" fontId="16" fillId="33" borderId="14" xfId="0" applyFont="1" applyFill="1" applyBorder="1" applyAlignment="1">
      <alignment horizontal="center"/>
    </xf>
    <xf numFmtId="0" fontId="16" fillId="33" borderId="11" xfId="0" applyFont="1" applyFill="1" applyBorder="1" applyAlignment="1">
      <alignment horizontal="center"/>
    </xf>
    <xf numFmtId="0" fontId="0" fillId="33" borderId="21" xfId="0" applyFill="1" applyBorder="1"/>
    <xf numFmtId="0" fontId="0" fillId="33" borderId="16" xfId="0" applyFill="1" applyBorder="1" applyAlignment="1">
      <alignment horizontal="center"/>
    </xf>
    <xf numFmtId="0" fontId="0" fillId="33" borderId="22" xfId="0" applyFill="1" applyBorder="1"/>
    <xf numFmtId="0" fontId="0" fillId="33" borderId="18" xfId="0" applyFill="1" applyBorder="1" applyAlignment="1">
      <alignment horizontal="center"/>
    </xf>
    <xf numFmtId="0" fontId="0" fillId="33" borderId="23" xfId="0" applyFill="1" applyBorder="1"/>
    <xf numFmtId="0" fontId="0" fillId="33" borderId="20" xfId="0" applyFill="1" applyBorder="1" applyAlignment="1">
      <alignment horizontal="center"/>
    </xf>
    <xf numFmtId="0" fontId="0" fillId="33" borderId="11" xfId="0" applyFill="1" applyBorder="1" applyAlignment="1">
      <alignment horizontal="center"/>
    </xf>
    <xf numFmtId="0" fontId="0" fillId="34" borderId="0" xfId="0" applyFill="1" applyAlignment="1">
      <alignment horizontal="left"/>
    </xf>
    <xf numFmtId="0" fontId="18" fillId="35" borderId="12" xfId="0" applyFont="1" applyFill="1" applyBorder="1" applyAlignment="1">
      <alignment horizontal="center"/>
    </xf>
    <xf numFmtId="0" fontId="18" fillId="35" borderId="14" xfId="0" applyFont="1" applyFill="1" applyBorder="1" applyAlignment="1">
      <alignment horizontal="center"/>
    </xf>
    <xf numFmtId="0" fontId="9" fillId="5" borderId="29" xfId="10" applyBorder="1" applyAlignment="1">
      <alignment horizontal="left"/>
    </xf>
    <xf numFmtId="44" fontId="9" fillId="5" borderId="30" xfId="10" applyNumberFormat="1" applyBorder="1"/>
    <xf numFmtId="0" fontId="1" fillId="10" borderId="22" xfId="20" applyBorder="1" applyAlignment="1">
      <alignment horizontal="center"/>
    </xf>
    <xf numFmtId="0" fontId="1" fillId="10" borderId="0" xfId="20"/>
    <xf numFmtId="0" fontId="16" fillId="10" borderId="26" xfId="20" applyFont="1" applyBorder="1" applyAlignment="1">
      <alignment horizontal="center" wrapText="1"/>
    </xf>
    <xf numFmtId="0" fontId="16" fillId="0" borderId="10" xfId="0" applyFont="1" applyFill="1" applyBorder="1" applyAlignment="1">
      <alignment horizontal="center"/>
    </xf>
    <xf numFmtId="2" fontId="0" fillId="0" borderId="0" xfId="0" applyNumberFormat="1" applyFill="1" applyBorder="1" applyAlignment="1">
      <alignment horizontal="left"/>
    </xf>
    <xf numFmtId="2" fontId="0" fillId="0" borderId="0" xfId="1" applyNumberFormat="1" applyFont="1" applyFill="1" applyBorder="1" applyAlignment="1">
      <alignment horizontal="left"/>
    </xf>
    <xf numFmtId="165" fontId="0" fillId="0" borderId="0" xfId="1" applyNumberFormat="1" applyFont="1" applyFill="1" applyBorder="1" applyAlignment="1">
      <alignment horizontal="left"/>
    </xf>
    <xf numFmtId="166" fontId="0" fillId="0" borderId="22" xfId="0" applyNumberFormat="1" applyFill="1" applyBorder="1"/>
    <xf numFmtId="0" fontId="0" fillId="0" borderId="0" xfId="0" applyFill="1" applyBorder="1" applyAlignment="1">
      <alignment horizontal="left"/>
    </xf>
    <xf numFmtId="0" fontId="0" fillId="36" borderId="0" xfId="0" applyFill="1" applyBorder="1" applyAlignment="1">
      <alignment horizontal="left"/>
    </xf>
    <xf numFmtId="0" fontId="0" fillId="36" borderId="0" xfId="0" applyFill="1" applyBorder="1"/>
    <xf numFmtId="165" fontId="0" fillId="36" borderId="0" xfId="1" applyNumberFormat="1" applyFont="1" applyFill="1" applyBorder="1" applyAlignment="1">
      <alignment horizontal="left"/>
    </xf>
    <xf numFmtId="2" fontId="0" fillId="36" borderId="0" xfId="1" applyNumberFormat="1" applyFont="1" applyFill="1" applyBorder="1" applyAlignment="1">
      <alignment horizontal="left"/>
    </xf>
    <xf numFmtId="0" fontId="25" fillId="0" borderId="26" xfId="0" applyFont="1" applyFill="1" applyBorder="1" applyAlignment="1">
      <alignment wrapText="1"/>
    </xf>
    <xf numFmtId="6" fontId="26" fillId="0" borderId="22" xfId="1" applyNumberFormat="1" applyFont="1" applyFill="1" applyBorder="1"/>
    <xf numFmtId="0" fontId="25" fillId="0" borderId="0" xfId="0" applyFont="1" applyFill="1" applyBorder="1" applyAlignment="1">
      <alignment horizontal="center"/>
    </xf>
    <xf numFmtId="0" fontId="26" fillId="0" borderId="0" xfId="0" applyFont="1" applyFill="1"/>
    <xf numFmtId="6" fontId="1" fillId="0" borderId="22" xfId="1" applyNumberFormat="1" applyFont="1" applyFill="1" applyBorder="1"/>
    <xf numFmtId="0" fontId="16" fillId="0" borderId="26" xfId="0" applyFont="1" applyFill="1" applyBorder="1" applyAlignment="1">
      <alignment wrapText="1"/>
    </xf>
    <xf numFmtId="1" fontId="0" fillId="33" borderId="0" xfId="0" applyNumberFormat="1" applyFill="1" applyBorder="1" applyAlignment="1">
      <alignment horizontal="left"/>
    </xf>
    <xf numFmtId="0" fontId="28" fillId="0" borderId="0" xfId="0" applyFont="1" applyFill="1" applyBorder="1" applyAlignment="1">
      <alignment horizontal="center" wrapText="1"/>
    </xf>
    <xf numFmtId="166" fontId="27" fillId="0" borderId="0" xfId="1" applyNumberFormat="1" applyFont="1" applyFill="1" applyBorder="1" applyAlignment="1">
      <alignment horizontal="center"/>
    </xf>
    <xf numFmtId="0" fontId="23" fillId="0" borderId="27" xfId="0" applyFont="1" applyFill="1" applyBorder="1" applyAlignment="1">
      <alignment horizontal="center"/>
    </xf>
    <xf numFmtId="0" fontId="24" fillId="0" borderId="28" xfId="0" applyFont="1" applyFill="1" applyBorder="1" applyAlignment="1">
      <alignment horizont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colors>
    <mruColors>
      <color rgb="FFF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127000</xdr:colOff>
          <xdr:row>0</xdr:row>
          <xdr:rowOff>146050</xdr:rowOff>
        </xdr:from>
        <xdr:to>
          <xdr:col>8</xdr:col>
          <xdr:colOff>127000</xdr:colOff>
          <xdr:row>0</xdr:row>
          <xdr:rowOff>685800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127000</xdr:colOff>
          <xdr:row>0</xdr:row>
          <xdr:rowOff>146050</xdr:rowOff>
        </xdr:from>
        <xdr:to>
          <xdr:col>8</xdr:col>
          <xdr:colOff>127000</xdr:colOff>
          <xdr:row>0</xdr:row>
          <xdr:rowOff>685800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221"/>
  <sheetViews>
    <sheetView workbookViewId="0">
      <selection activeCell="B30" sqref="B30"/>
    </sheetView>
  </sheetViews>
  <sheetFormatPr defaultColWidth="9.1796875" defaultRowHeight="14.5" x14ac:dyDescent="0.35"/>
  <cols>
    <col min="1" max="1" width="9.1796875" style="7"/>
    <col min="2" max="2" width="20.7265625" style="7" customWidth="1"/>
    <col min="3" max="3" width="9.1796875" style="7"/>
    <col min="4" max="4" width="8.81640625" style="7" customWidth="1"/>
    <col min="5" max="5" width="2.7265625" style="16" customWidth="1"/>
    <col min="6" max="6" width="16.26953125" style="8" customWidth="1"/>
    <col min="7" max="7" width="11.1796875" style="8" customWidth="1"/>
    <col min="8" max="8" width="10.453125" style="8" customWidth="1"/>
    <col min="9" max="9" width="2.7265625" style="16" customWidth="1"/>
    <col min="10" max="10" width="14" style="46" customWidth="1"/>
    <col min="11" max="11" width="20.7265625" style="8" customWidth="1"/>
    <col min="12" max="12" width="10.7265625" style="8" customWidth="1"/>
    <col min="13" max="13" width="9.453125" style="9" customWidth="1"/>
    <col min="14" max="14" width="9.1796875" style="13" customWidth="1"/>
    <col min="15" max="15" width="11.453125" style="8" customWidth="1"/>
    <col min="16" max="16" width="9.1796875" style="13" customWidth="1"/>
    <col min="17" max="18" width="11" style="61" customWidth="1"/>
    <col min="19" max="16384" width="9.1796875" style="8"/>
  </cols>
  <sheetData>
    <row r="1" spans="1:18" ht="63.75" customHeight="1" thickBot="1" x14ac:dyDescent="0.6">
      <c r="A1" s="67" t="s">
        <v>9</v>
      </c>
      <c r="B1" s="67"/>
      <c r="C1" s="67"/>
      <c r="D1" s="67"/>
      <c r="E1" s="17"/>
      <c r="F1" s="16"/>
      <c r="G1" s="16"/>
      <c r="H1" s="16"/>
      <c r="I1" s="17"/>
      <c r="J1" s="47" t="s">
        <v>180</v>
      </c>
      <c r="K1" s="3" t="s">
        <v>10</v>
      </c>
      <c r="L1" s="3" t="s">
        <v>6</v>
      </c>
      <c r="M1" s="1" t="s">
        <v>23</v>
      </c>
      <c r="N1" s="63" t="s">
        <v>174</v>
      </c>
      <c r="O1" s="2" t="s">
        <v>22</v>
      </c>
      <c r="P1" s="10" t="s">
        <v>229</v>
      </c>
      <c r="Q1" s="58" t="s">
        <v>228</v>
      </c>
      <c r="R1" s="65" t="s">
        <v>230</v>
      </c>
    </row>
    <row r="2" spans="1:18" ht="15" thickTop="1" x14ac:dyDescent="0.35">
      <c r="A2" s="48" t="s">
        <v>6</v>
      </c>
      <c r="B2" s="48" t="s">
        <v>10</v>
      </c>
      <c r="C2" s="48" t="s">
        <v>11</v>
      </c>
      <c r="D2" s="48" t="s">
        <v>177</v>
      </c>
      <c r="F2" s="18" t="s">
        <v>12</v>
      </c>
      <c r="G2" s="19">
        <v>500</v>
      </c>
      <c r="H2" s="17"/>
      <c r="J2" s="45"/>
      <c r="K2" s="6" t="s">
        <v>26</v>
      </c>
      <c r="L2" s="7" t="s">
        <v>0</v>
      </c>
      <c r="M2" s="52">
        <v>357.49439999999998</v>
      </c>
      <c r="N2" s="62">
        <v>111.55</v>
      </c>
      <c r="O2" s="4">
        <v>0</v>
      </c>
      <c r="P2" s="11">
        <f>Q2*1.1</f>
        <v>106.7</v>
      </c>
      <c r="Q2" s="59">
        <v>97</v>
      </c>
      <c r="R2" s="66">
        <f>M2/N2</f>
        <v>3.2047906768265353</v>
      </c>
    </row>
    <row r="3" spans="1:18" x14ac:dyDescent="0.35">
      <c r="A3" s="53" t="s">
        <v>0</v>
      </c>
      <c r="B3" s="7" t="s">
        <v>182</v>
      </c>
      <c r="C3" s="51">
        <v>35.65</v>
      </c>
      <c r="D3" s="50"/>
      <c r="F3" s="43" t="s">
        <v>13</v>
      </c>
      <c r="G3" s="44">
        <v>30</v>
      </c>
      <c r="H3" s="16"/>
      <c r="J3" s="45"/>
      <c r="K3" s="6" t="s">
        <v>24</v>
      </c>
      <c r="L3" s="7" t="s">
        <v>0</v>
      </c>
      <c r="M3" s="52">
        <v>338.625</v>
      </c>
      <c r="N3" s="62">
        <v>92</v>
      </c>
      <c r="O3" s="4">
        <v>0</v>
      </c>
      <c r="P3" s="11">
        <f t="shared" ref="P3:P66" si="0">Q3*1.1</f>
        <v>88</v>
      </c>
      <c r="Q3" s="59">
        <v>80</v>
      </c>
      <c r="R3" s="66">
        <f t="shared" ref="R3:R66" si="1">M3/N3</f>
        <v>3.6807065217391304</v>
      </c>
    </row>
    <row r="4" spans="1:18" ht="15" thickBot="1" x14ac:dyDescent="0.4">
      <c r="A4" s="53" t="s">
        <v>18</v>
      </c>
      <c r="B4" s="7" t="s">
        <v>48</v>
      </c>
      <c r="C4" s="51">
        <v>147.19999999999999</v>
      </c>
      <c r="D4" s="50"/>
      <c r="F4" s="20" t="s">
        <v>14</v>
      </c>
      <c r="G4" s="21">
        <f>G2-G3-(SUM(C24:C54))</f>
        <v>470</v>
      </c>
      <c r="H4" s="16"/>
      <c r="J4" s="45"/>
      <c r="K4" s="6" t="s">
        <v>25</v>
      </c>
      <c r="L4" s="7" t="s">
        <v>0</v>
      </c>
      <c r="M4" s="52">
        <v>335.52533333333298</v>
      </c>
      <c r="N4" s="62">
        <v>96.6</v>
      </c>
      <c r="O4" s="4">
        <v>0</v>
      </c>
      <c r="P4" s="11">
        <f t="shared" si="0"/>
        <v>92.4</v>
      </c>
      <c r="Q4" s="59">
        <v>84</v>
      </c>
      <c r="R4" s="66">
        <f t="shared" si="1"/>
        <v>3.4733471359558283</v>
      </c>
    </row>
    <row r="5" spans="1:18" ht="15" thickBot="1" x14ac:dyDescent="0.4">
      <c r="A5" s="7" t="s">
        <v>18</v>
      </c>
      <c r="B5" s="7" t="s">
        <v>54</v>
      </c>
      <c r="C5" s="51">
        <v>140.29999999999998</v>
      </c>
      <c r="D5" s="50"/>
      <c r="F5" s="40"/>
      <c r="G5" s="16"/>
      <c r="H5" s="16"/>
      <c r="J5" s="45"/>
      <c r="K5" s="6" t="s">
        <v>31</v>
      </c>
      <c r="L5" s="7" t="s">
        <v>0</v>
      </c>
      <c r="M5" s="52">
        <v>302.68239999999997</v>
      </c>
      <c r="N5" s="62">
        <v>41.4</v>
      </c>
      <c r="O5" s="4">
        <v>0</v>
      </c>
      <c r="P5" s="11">
        <f t="shared" si="0"/>
        <v>39.6</v>
      </c>
      <c r="Q5" s="59">
        <v>36</v>
      </c>
      <c r="R5" s="66">
        <f t="shared" si="1"/>
        <v>7.3111690821256037</v>
      </c>
    </row>
    <row r="6" spans="1:18" ht="16" thickBot="1" x14ac:dyDescent="0.4">
      <c r="A6" s="53" t="s">
        <v>1</v>
      </c>
      <c r="B6" s="7" t="s">
        <v>47</v>
      </c>
      <c r="C6" s="51">
        <v>82.8</v>
      </c>
      <c r="D6" s="50"/>
      <c r="F6" s="22" t="s">
        <v>20</v>
      </c>
      <c r="G6" s="14" t="s">
        <v>15</v>
      </c>
      <c r="H6" s="23" t="s">
        <v>16</v>
      </c>
      <c r="J6" s="45"/>
      <c r="K6" s="6" t="s">
        <v>32</v>
      </c>
      <c r="L6" s="7" t="s">
        <v>0</v>
      </c>
      <c r="M6" s="52">
        <v>301.18266666666699</v>
      </c>
      <c r="N6" s="62">
        <v>46</v>
      </c>
      <c r="O6" s="4">
        <v>0</v>
      </c>
      <c r="P6" s="11">
        <f t="shared" si="0"/>
        <v>44</v>
      </c>
      <c r="Q6" s="59">
        <v>40</v>
      </c>
      <c r="R6" s="66">
        <f t="shared" si="1"/>
        <v>6.5474492753623261</v>
      </c>
    </row>
    <row r="7" spans="1:18" x14ac:dyDescent="0.35">
      <c r="A7" s="53" t="s">
        <v>3</v>
      </c>
      <c r="B7" s="7" t="s">
        <v>202</v>
      </c>
      <c r="C7" s="51">
        <v>14.95</v>
      </c>
      <c r="D7" s="50"/>
      <c r="F7" s="24" t="s">
        <v>0</v>
      </c>
      <c r="G7" s="64">
        <f>SUMPRODUCT(M2:M26,O2:O26)</f>
        <v>297.87426666666698</v>
      </c>
      <c r="H7" s="26">
        <f>SUMPRODUCT(N2:N26,O2:O26)</f>
        <v>35.65</v>
      </c>
      <c r="J7" s="45"/>
      <c r="K7" s="6" t="s">
        <v>182</v>
      </c>
      <c r="L7" s="7" t="s">
        <v>0</v>
      </c>
      <c r="M7" s="52">
        <v>297.87426666666698</v>
      </c>
      <c r="N7" s="62">
        <v>35.65</v>
      </c>
      <c r="O7" s="4">
        <v>1</v>
      </c>
      <c r="P7" s="11">
        <f t="shared" si="0"/>
        <v>34.1</v>
      </c>
      <c r="Q7" s="59">
        <v>31</v>
      </c>
      <c r="R7" s="66">
        <f t="shared" si="1"/>
        <v>8.3555194015895378</v>
      </c>
    </row>
    <row r="8" spans="1:18" x14ac:dyDescent="0.35">
      <c r="A8" s="53" t="s">
        <v>2</v>
      </c>
      <c r="B8" s="7" t="s">
        <v>102</v>
      </c>
      <c r="C8" s="51">
        <v>25.299999999999997</v>
      </c>
      <c r="D8" s="50"/>
      <c r="F8" s="24" t="s">
        <v>1</v>
      </c>
      <c r="G8" s="64">
        <f>SUMPRODUCT(M37:M76,O37:O76)</f>
        <v>236.07545238095199</v>
      </c>
      <c r="H8" s="26">
        <f>SUMPRODUCT(N37:N76,O37:O76)</f>
        <v>82.8</v>
      </c>
      <c r="J8" s="45"/>
      <c r="K8" s="6" t="s">
        <v>29</v>
      </c>
      <c r="L8" s="7" t="s">
        <v>0</v>
      </c>
      <c r="M8" s="52">
        <v>289.56493333333299</v>
      </c>
      <c r="N8" s="62">
        <v>46</v>
      </c>
      <c r="O8" s="4">
        <v>0</v>
      </c>
      <c r="P8" s="11">
        <f t="shared" si="0"/>
        <v>44</v>
      </c>
      <c r="Q8" s="59">
        <v>40</v>
      </c>
      <c r="R8" s="66">
        <f t="shared" si="1"/>
        <v>6.2948898550724559</v>
      </c>
    </row>
    <row r="9" spans="1:18" x14ac:dyDescent="0.35">
      <c r="A9" s="53" t="s">
        <v>2</v>
      </c>
      <c r="B9" s="7" t="s">
        <v>122</v>
      </c>
      <c r="C9" s="51">
        <v>14.95</v>
      </c>
      <c r="D9" s="50"/>
      <c r="F9" s="24" t="s">
        <v>18</v>
      </c>
      <c r="G9" s="64">
        <f>SUMPRODUCT(M27:M35,O27:O35)</f>
        <v>615.7760714285721</v>
      </c>
      <c r="H9" s="26">
        <f>SUMPRODUCT(N27:N35,O27:O35)</f>
        <v>287.5</v>
      </c>
      <c r="J9" s="45"/>
      <c r="K9" s="6" t="s">
        <v>30</v>
      </c>
      <c r="L9" s="7" t="s">
        <v>0</v>
      </c>
      <c r="M9" s="52">
        <v>289.08166666666699</v>
      </c>
      <c r="N9" s="62">
        <v>20.7</v>
      </c>
      <c r="O9" s="4">
        <v>0</v>
      </c>
      <c r="P9" s="11">
        <f t="shared" si="0"/>
        <v>19.8</v>
      </c>
      <c r="Q9" s="59">
        <v>18</v>
      </c>
      <c r="R9" s="66">
        <f t="shared" si="1"/>
        <v>13.96529790660227</v>
      </c>
    </row>
    <row r="10" spans="1:18" x14ac:dyDescent="0.35">
      <c r="A10" s="54" t="s">
        <v>4</v>
      </c>
      <c r="B10" s="55" t="s">
        <v>151</v>
      </c>
      <c r="C10" s="56">
        <v>4.0249999999999995</v>
      </c>
      <c r="D10" s="57"/>
      <c r="F10" s="24" t="s">
        <v>2</v>
      </c>
      <c r="G10" s="64">
        <f>SUMPRODUCT(M103:M153,O103:O153)</f>
        <v>399.60220238095201</v>
      </c>
      <c r="H10" s="26">
        <f>SUMPRODUCT(N103:N153,O103:O153)</f>
        <v>40.25</v>
      </c>
      <c r="J10" s="45"/>
      <c r="K10" s="6" t="s">
        <v>33</v>
      </c>
      <c r="L10" s="7" t="s">
        <v>0</v>
      </c>
      <c r="M10" s="52">
        <v>288.46559999999999</v>
      </c>
      <c r="N10" s="62">
        <v>46</v>
      </c>
      <c r="O10" s="4">
        <v>0</v>
      </c>
      <c r="P10" s="11">
        <f t="shared" si="0"/>
        <v>44</v>
      </c>
      <c r="Q10" s="59">
        <v>40</v>
      </c>
      <c r="R10" s="66">
        <f t="shared" si="1"/>
        <v>6.2709913043478256</v>
      </c>
    </row>
    <row r="11" spans="1:18" x14ac:dyDescent="0.35">
      <c r="A11" s="54" t="s">
        <v>5</v>
      </c>
      <c r="B11" s="55" t="s">
        <v>159</v>
      </c>
      <c r="C11" s="56">
        <v>2.875</v>
      </c>
      <c r="D11" s="57"/>
      <c r="F11" s="24" t="s">
        <v>21</v>
      </c>
      <c r="G11" s="64">
        <f>SUMPRODUCT(M96:M99,O96:O99)</f>
        <v>0</v>
      </c>
      <c r="H11" s="26">
        <f>SUMPRODUCT(N96:N99,O96:O99)</f>
        <v>0</v>
      </c>
      <c r="J11" s="45"/>
      <c r="K11" s="6" t="s">
        <v>27</v>
      </c>
      <c r="L11" s="7" t="s">
        <v>0</v>
      </c>
      <c r="M11" s="52">
        <v>285.83786666666703</v>
      </c>
      <c r="N11" s="62">
        <v>46</v>
      </c>
      <c r="O11" s="4">
        <v>0</v>
      </c>
      <c r="P11" s="11">
        <f t="shared" si="0"/>
        <v>44</v>
      </c>
      <c r="Q11" s="59">
        <v>40</v>
      </c>
      <c r="R11" s="66">
        <f t="shared" si="1"/>
        <v>6.2138666666666742</v>
      </c>
    </row>
    <row r="12" spans="1:18" x14ac:dyDescent="0.35">
      <c r="C12" s="51"/>
      <c r="D12" s="50"/>
      <c r="F12" s="24" t="s">
        <v>3</v>
      </c>
      <c r="G12" s="64">
        <f>SUMPRODUCT(M77:M95,O77:O95)</f>
        <v>170.57119047619</v>
      </c>
      <c r="H12" s="26">
        <f>SUMPRODUCT(N77:N95,O77:O95)</f>
        <v>14.95</v>
      </c>
      <c r="J12" s="45"/>
      <c r="K12" s="6" t="s">
        <v>28</v>
      </c>
      <c r="L12" s="7" t="s">
        <v>0</v>
      </c>
      <c r="M12" s="52">
        <v>283.86873333333301</v>
      </c>
      <c r="N12" s="62">
        <v>33.349999999999994</v>
      </c>
      <c r="O12" s="4">
        <v>0</v>
      </c>
      <c r="P12" s="11">
        <f t="shared" si="0"/>
        <v>31.900000000000002</v>
      </c>
      <c r="Q12" s="59">
        <v>29</v>
      </c>
      <c r="R12" s="66">
        <f t="shared" si="1"/>
        <v>8.5118060969515152</v>
      </c>
    </row>
    <row r="13" spans="1:18" x14ac:dyDescent="0.35">
      <c r="C13" s="51"/>
      <c r="D13" s="50"/>
      <c r="F13" s="24" t="s">
        <v>4</v>
      </c>
      <c r="G13" s="64">
        <f>SUMPRODUCT(M154:M180,O154:O180)</f>
        <v>155</v>
      </c>
      <c r="H13" s="26">
        <f>SUMPRODUCT(N154:N180,O154:O180)</f>
        <v>4.0249999999999995</v>
      </c>
      <c r="J13" s="45"/>
      <c r="K13" s="6" t="s">
        <v>35</v>
      </c>
      <c r="L13" s="7" t="s">
        <v>0</v>
      </c>
      <c r="M13" s="52">
        <v>281.18033333333301</v>
      </c>
      <c r="N13" s="62">
        <v>35.65</v>
      </c>
      <c r="O13" s="4">
        <v>0</v>
      </c>
      <c r="P13" s="11">
        <f t="shared" si="0"/>
        <v>34.1</v>
      </c>
      <c r="Q13" s="59">
        <v>31</v>
      </c>
      <c r="R13" s="66">
        <f t="shared" si="1"/>
        <v>7.8872463768115857</v>
      </c>
    </row>
    <row r="14" spans="1:18" ht="15" thickBot="1" x14ac:dyDescent="0.4">
      <c r="C14" s="51"/>
      <c r="D14" s="50"/>
      <c r="F14" s="24" t="s">
        <v>5</v>
      </c>
      <c r="G14" s="64">
        <f>SUMPRODUCT(M181:M197,O181:O197)</f>
        <v>151.5</v>
      </c>
      <c r="H14" s="26">
        <f>SUMPRODUCT(N181:N197,O181:O197)</f>
        <v>2.875</v>
      </c>
      <c r="J14" s="45"/>
      <c r="K14" s="6" t="s">
        <v>34</v>
      </c>
      <c r="L14" s="7" t="s">
        <v>0</v>
      </c>
      <c r="M14" s="52">
        <v>277.1576</v>
      </c>
      <c r="N14" s="62">
        <v>20.7</v>
      </c>
      <c r="O14" s="4">
        <v>0</v>
      </c>
      <c r="P14" s="11">
        <f t="shared" si="0"/>
        <v>19.8</v>
      </c>
      <c r="Q14" s="59">
        <v>18</v>
      </c>
      <c r="R14" s="66">
        <f t="shared" si="1"/>
        <v>13.389256038647343</v>
      </c>
    </row>
    <row r="15" spans="1:18" ht="16" thickBot="1" x14ac:dyDescent="0.4">
      <c r="C15" s="51"/>
      <c r="D15" s="50"/>
      <c r="F15" s="41" t="s">
        <v>179</v>
      </c>
      <c r="G15" s="42">
        <f>SUM(G7:G14)</f>
        <v>2026.3991833333328</v>
      </c>
      <c r="H15" s="15">
        <f>SUM(H7:H14)</f>
        <v>468.04999999999995</v>
      </c>
      <c r="J15" s="45"/>
      <c r="K15" s="6" t="s">
        <v>39</v>
      </c>
      <c r="L15" s="7" t="s">
        <v>0</v>
      </c>
      <c r="M15" s="52">
        <v>272.44286666666699</v>
      </c>
      <c r="N15" s="62">
        <v>33.349999999999994</v>
      </c>
      <c r="O15" s="4">
        <v>0</v>
      </c>
      <c r="P15" s="11">
        <f t="shared" si="0"/>
        <v>31.900000000000002</v>
      </c>
      <c r="Q15" s="59">
        <v>29</v>
      </c>
      <c r="R15" s="66">
        <f t="shared" si="1"/>
        <v>8.1692013993003609</v>
      </c>
    </row>
    <row r="16" spans="1:18" ht="15" thickBot="1" x14ac:dyDescent="0.4">
      <c r="C16" s="51"/>
      <c r="D16" s="50"/>
      <c r="F16" s="16"/>
      <c r="G16" s="16"/>
      <c r="H16" s="16"/>
      <c r="J16" s="45"/>
      <c r="K16" s="6" t="s">
        <v>41</v>
      </c>
      <c r="L16" s="7" t="s">
        <v>0</v>
      </c>
      <c r="M16" s="52">
        <v>267.85853333333301</v>
      </c>
      <c r="N16" s="62">
        <v>20.7</v>
      </c>
      <c r="O16" s="4">
        <v>0</v>
      </c>
      <c r="P16" s="11">
        <f t="shared" si="0"/>
        <v>19.8</v>
      </c>
      <c r="Q16" s="59">
        <v>18</v>
      </c>
      <c r="R16" s="66">
        <f t="shared" si="1"/>
        <v>12.940025764895315</v>
      </c>
    </row>
    <row r="17" spans="1:18" ht="16" thickBot="1" x14ac:dyDescent="0.4">
      <c r="C17" s="51"/>
      <c r="D17" s="50"/>
      <c r="F17" s="22" t="s">
        <v>20</v>
      </c>
      <c r="G17" s="14" t="s">
        <v>17</v>
      </c>
      <c r="H17" s="23" t="s">
        <v>7</v>
      </c>
      <c r="J17" s="45"/>
      <c r="K17" s="6" t="s">
        <v>38</v>
      </c>
      <c r="L17" s="7" t="s">
        <v>0</v>
      </c>
      <c r="M17" s="52">
        <v>264.34393333333298</v>
      </c>
      <c r="N17" s="62">
        <v>18.399999999999999</v>
      </c>
      <c r="O17" s="4">
        <v>0</v>
      </c>
      <c r="P17" s="11">
        <f t="shared" si="0"/>
        <v>17.600000000000001</v>
      </c>
      <c r="Q17" s="59">
        <v>16</v>
      </c>
      <c r="R17" s="66">
        <f t="shared" si="1"/>
        <v>14.366518115942011</v>
      </c>
    </row>
    <row r="18" spans="1:18" x14ac:dyDescent="0.35">
      <c r="C18" s="51"/>
      <c r="D18" s="50"/>
      <c r="F18" s="24" t="s">
        <v>0</v>
      </c>
      <c r="G18" s="25">
        <f>SUM(O2:O26)</f>
        <v>1</v>
      </c>
      <c r="H18" s="26">
        <v>1</v>
      </c>
      <c r="J18" s="45"/>
      <c r="K18" s="6" t="s">
        <v>37</v>
      </c>
      <c r="L18" s="7" t="s">
        <v>0</v>
      </c>
      <c r="M18" s="52">
        <v>252.803666666667</v>
      </c>
      <c r="N18" s="62">
        <v>8.0499999999999989</v>
      </c>
      <c r="O18" s="4">
        <v>0</v>
      </c>
      <c r="P18" s="11">
        <f t="shared" si="0"/>
        <v>7.7000000000000011</v>
      </c>
      <c r="Q18" s="59">
        <v>7</v>
      </c>
      <c r="R18" s="66">
        <f t="shared" si="1"/>
        <v>31.404182194617022</v>
      </c>
    </row>
    <row r="19" spans="1:18" x14ac:dyDescent="0.35">
      <c r="C19" s="51"/>
      <c r="D19" s="49"/>
      <c r="F19" s="24" t="s">
        <v>1</v>
      </c>
      <c r="G19" s="25">
        <f>SUM(O27:O76)</f>
        <v>3</v>
      </c>
      <c r="H19" s="26">
        <v>1</v>
      </c>
      <c r="J19" s="45"/>
      <c r="K19" s="6" t="s">
        <v>42</v>
      </c>
      <c r="L19" s="7" t="s">
        <v>0</v>
      </c>
      <c r="M19" s="52">
        <v>250.90786666666699</v>
      </c>
      <c r="N19" s="62">
        <v>3.4499999999999997</v>
      </c>
      <c r="O19" s="4">
        <v>0</v>
      </c>
      <c r="P19" s="11">
        <f t="shared" si="0"/>
        <v>3.3000000000000003</v>
      </c>
      <c r="Q19" s="59">
        <v>3</v>
      </c>
      <c r="R19" s="66">
        <f t="shared" si="1"/>
        <v>72.726917874396236</v>
      </c>
    </row>
    <row r="20" spans="1:18" x14ac:dyDescent="0.35">
      <c r="F20" s="24" t="s">
        <v>18</v>
      </c>
      <c r="G20" s="25">
        <f>SUM(O27:O35)</f>
        <v>2</v>
      </c>
      <c r="H20" s="26">
        <v>0</v>
      </c>
      <c r="J20" s="45"/>
      <c r="K20" s="6" t="s">
        <v>44</v>
      </c>
      <c r="L20" s="7" t="s">
        <v>0</v>
      </c>
      <c r="M20" s="52">
        <v>247.95939999999999</v>
      </c>
      <c r="N20" s="62">
        <v>2.2999999999999998</v>
      </c>
      <c r="O20" s="4">
        <v>0</v>
      </c>
      <c r="P20" s="11">
        <f t="shared" si="0"/>
        <v>2.2000000000000002</v>
      </c>
      <c r="Q20" s="59">
        <v>2</v>
      </c>
      <c r="R20" s="66">
        <f t="shared" si="1"/>
        <v>107.8084347826087</v>
      </c>
    </row>
    <row r="21" spans="1:18" ht="15" thickBot="1" x14ac:dyDescent="0.4">
      <c r="F21" s="24" t="s">
        <v>2</v>
      </c>
      <c r="G21" s="25">
        <f>SUM(O96:O153)</f>
        <v>2</v>
      </c>
      <c r="H21" s="26">
        <v>1</v>
      </c>
      <c r="J21" s="45"/>
      <c r="K21" s="6" t="s">
        <v>43</v>
      </c>
      <c r="L21" s="7" t="s">
        <v>0</v>
      </c>
      <c r="M21" s="52">
        <v>242.09153333333299</v>
      </c>
      <c r="N21" s="62">
        <v>2.2999999999999998</v>
      </c>
      <c r="O21" s="4">
        <v>0</v>
      </c>
      <c r="P21" s="11">
        <f t="shared" si="0"/>
        <v>2.2000000000000002</v>
      </c>
      <c r="Q21" s="59">
        <v>2</v>
      </c>
      <c r="R21" s="66">
        <f t="shared" si="1"/>
        <v>105.25718840579697</v>
      </c>
    </row>
    <row r="22" spans="1:18" ht="22" thickTop="1" thickBot="1" x14ac:dyDescent="0.55000000000000004">
      <c r="A22" s="68" t="s">
        <v>175</v>
      </c>
      <c r="B22" s="68"/>
      <c r="C22" s="68"/>
      <c r="D22" s="68"/>
      <c r="F22" s="24" t="s">
        <v>21</v>
      </c>
      <c r="G22" s="25">
        <f>SUM(O96:O99)</f>
        <v>0</v>
      </c>
      <c r="H22" s="26">
        <v>0</v>
      </c>
      <c r="J22" s="45"/>
      <c r="K22" s="6" t="s">
        <v>40</v>
      </c>
      <c r="L22" s="7" t="s">
        <v>0</v>
      </c>
      <c r="M22" s="52">
        <v>229.17846666666699</v>
      </c>
      <c r="N22" s="62">
        <v>2.2999999999999998</v>
      </c>
      <c r="O22" s="4">
        <v>0</v>
      </c>
      <c r="P22" s="11">
        <f t="shared" si="0"/>
        <v>2.2000000000000002</v>
      </c>
      <c r="Q22" s="59">
        <v>2</v>
      </c>
      <c r="R22" s="66">
        <f t="shared" si="1"/>
        <v>99.642811594203053</v>
      </c>
    </row>
    <row r="23" spans="1:18" ht="15" thickTop="1" x14ac:dyDescent="0.35">
      <c r="A23" s="48" t="s">
        <v>6</v>
      </c>
      <c r="B23" s="48" t="s">
        <v>10</v>
      </c>
      <c r="C23" s="48" t="s">
        <v>11</v>
      </c>
      <c r="D23" s="48" t="s">
        <v>177</v>
      </c>
      <c r="F23" s="24" t="s">
        <v>3</v>
      </c>
      <c r="G23" s="25">
        <f>SUM(O77:O95)</f>
        <v>1</v>
      </c>
      <c r="H23" s="26">
        <v>1</v>
      </c>
      <c r="J23" s="45"/>
      <c r="K23" s="6" t="s">
        <v>36</v>
      </c>
      <c r="L23" s="7" t="s">
        <v>0</v>
      </c>
      <c r="M23" s="52">
        <v>228.25733333333301</v>
      </c>
      <c r="N23" s="62">
        <v>4.5999999999999996</v>
      </c>
      <c r="O23" s="4">
        <v>0</v>
      </c>
      <c r="P23" s="11">
        <f t="shared" si="0"/>
        <v>4.4000000000000004</v>
      </c>
      <c r="Q23" s="59">
        <v>4</v>
      </c>
      <c r="R23" s="66">
        <f t="shared" si="1"/>
        <v>49.621159420289786</v>
      </c>
    </row>
    <row r="24" spans="1:18" x14ac:dyDescent="0.35">
      <c r="A24" s="53"/>
      <c r="C24" s="51"/>
      <c r="D24" s="50"/>
      <c r="F24" s="24" t="s">
        <v>4</v>
      </c>
      <c r="G24" s="25">
        <f>SUM(O154:O180)</f>
        <v>1</v>
      </c>
      <c r="H24" s="26">
        <f>1-H37</f>
        <v>1</v>
      </c>
      <c r="J24" s="45"/>
      <c r="K24" s="6" t="s">
        <v>183</v>
      </c>
      <c r="L24" s="7" t="s">
        <v>0</v>
      </c>
      <c r="M24" s="52">
        <v>216.15333333333299</v>
      </c>
      <c r="N24" s="62">
        <v>1.1499999999999999</v>
      </c>
      <c r="O24" s="4">
        <v>0</v>
      </c>
      <c r="P24" s="11">
        <f t="shared" si="0"/>
        <v>1.1000000000000001</v>
      </c>
      <c r="Q24" s="59">
        <v>1</v>
      </c>
      <c r="R24" s="66">
        <f t="shared" si="1"/>
        <v>187.95942028985479</v>
      </c>
    </row>
    <row r="25" spans="1:18" ht="15" thickBot="1" x14ac:dyDescent="0.4">
      <c r="A25" s="53"/>
      <c r="C25" s="51"/>
      <c r="D25" s="50"/>
      <c r="F25" s="24" t="s">
        <v>5</v>
      </c>
      <c r="G25" s="25">
        <f>SUM(O181:O197)</f>
        <v>1</v>
      </c>
      <c r="H25" s="26">
        <f>1-H36</f>
        <v>1</v>
      </c>
      <c r="J25" s="45"/>
      <c r="K25" s="6" t="s">
        <v>184</v>
      </c>
      <c r="L25" s="7" t="s">
        <v>0</v>
      </c>
      <c r="M25" s="52">
        <v>213.677533333333</v>
      </c>
      <c r="N25" s="62">
        <v>2.2999999999999998</v>
      </c>
      <c r="O25" s="4">
        <v>0</v>
      </c>
      <c r="P25" s="11">
        <f t="shared" si="0"/>
        <v>2.2000000000000002</v>
      </c>
      <c r="Q25" s="59">
        <v>2</v>
      </c>
      <c r="R25" s="66">
        <f t="shared" si="1"/>
        <v>92.903275362318709</v>
      </c>
    </row>
    <row r="26" spans="1:18" ht="15" thickBot="1" x14ac:dyDescent="0.4">
      <c r="F26" s="27" t="s">
        <v>19</v>
      </c>
      <c r="G26" s="28">
        <f>SUM(G18,G19,G21,G23,G24,G25)</f>
        <v>9</v>
      </c>
      <c r="H26" s="29"/>
      <c r="J26" s="45"/>
      <c r="K26" s="6" t="s">
        <v>185</v>
      </c>
      <c r="L26" s="7" t="s">
        <v>0</v>
      </c>
      <c r="M26" s="52">
        <v>209.4648</v>
      </c>
      <c r="N26" s="62">
        <v>1.1499999999999999</v>
      </c>
      <c r="O26" s="4">
        <v>0</v>
      </c>
      <c r="P26" s="11">
        <f t="shared" si="0"/>
        <v>1.1000000000000001</v>
      </c>
      <c r="Q26" s="59">
        <v>1</v>
      </c>
      <c r="R26" s="66">
        <f t="shared" si="1"/>
        <v>182.1433043478261</v>
      </c>
    </row>
    <row r="27" spans="1:18" x14ac:dyDescent="0.35">
      <c r="F27" s="16"/>
      <c r="G27" s="16"/>
      <c r="H27" s="16"/>
      <c r="J27" s="45"/>
      <c r="K27" s="6" t="s">
        <v>48</v>
      </c>
      <c r="L27" s="7" t="s">
        <v>18</v>
      </c>
      <c r="M27" s="52">
        <v>314.18278571428601</v>
      </c>
      <c r="N27" s="62">
        <v>147.19999999999999</v>
      </c>
      <c r="O27" s="4">
        <v>1</v>
      </c>
      <c r="P27" s="11">
        <f t="shared" si="0"/>
        <v>140.80000000000001</v>
      </c>
      <c r="Q27" s="59">
        <v>128</v>
      </c>
      <c r="R27" s="66">
        <f t="shared" si="1"/>
        <v>2.134393924689443</v>
      </c>
    </row>
    <row r="28" spans="1:18" ht="15" thickBot="1" x14ac:dyDescent="0.4">
      <c r="F28" s="16"/>
      <c r="G28" s="16"/>
      <c r="H28" s="16"/>
      <c r="J28" s="45"/>
      <c r="K28" s="6" t="s">
        <v>54</v>
      </c>
      <c r="L28" s="7" t="s">
        <v>18</v>
      </c>
      <c r="M28" s="52">
        <v>301.59328571428603</v>
      </c>
      <c r="N28" s="62">
        <v>140.29999999999998</v>
      </c>
      <c r="O28" s="4">
        <v>1</v>
      </c>
      <c r="P28" s="11">
        <f t="shared" si="0"/>
        <v>134.20000000000002</v>
      </c>
      <c r="Q28" s="59">
        <v>122</v>
      </c>
      <c r="R28" s="66">
        <f t="shared" si="1"/>
        <v>2.1496314020975484</v>
      </c>
    </row>
    <row r="29" spans="1:18" ht="15" thickBot="1" x14ac:dyDescent="0.4">
      <c r="F29" s="30" t="s">
        <v>6</v>
      </c>
      <c r="G29" s="31" t="s">
        <v>8</v>
      </c>
      <c r="H29" s="32" t="s">
        <v>176</v>
      </c>
      <c r="J29" s="45"/>
      <c r="K29" s="6" t="s">
        <v>52</v>
      </c>
      <c r="L29" s="7" t="s">
        <v>18</v>
      </c>
      <c r="M29" s="52">
        <v>293.74616666666702</v>
      </c>
      <c r="N29" s="62">
        <v>147.19999999999999</v>
      </c>
      <c r="O29" s="4">
        <v>0</v>
      </c>
      <c r="P29" s="11">
        <f t="shared" si="0"/>
        <v>140.80000000000001</v>
      </c>
      <c r="Q29" s="59">
        <v>128</v>
      </c>
      <c r="R29" s="66">
        <f t="shared" si="1"/>
        <v>1.9955581974637706</v>
      </c>
    </row>
    <row r="30" spans="1:18" x14ac:dyDescent="0.35">
      <c r="F30" s="33" t="s">
        <v>0</v>
      </c>
      <c r="G30" s="34">
        <f>1-H30</f>
        <v>1</v>
      </c>
      <c r="H30" s="34">
        <f t="shared" ref="H30:H37" si="2">COUNTIF($A$24:$A$71,F30)</f>
        <v>0</v>
      </c>
      <c r="J30" s="45"/>
      <c r="K30" s="6" t="s">
        <v>45</v>
      </c>
      <c r="L30" s="7" t="s">
        <v>18</v>
      </c>
      <c r="M30" s="52">
        <v>278.16826190476201</v>
      </c>
      <c r="N30" s="62">
        <v>142.6</v>
      </c>
      <c r="O30" s="4">
        <v>0</v>
      </c>
      <c r="P30" s="11">
        <f t="shared" si="0"/>
        <v>136.4</v>
      </c>
      <c r="Q30" s="59">
        <v>124</v>
      </c>
      <c r="R30" s="66">
        <f t="shared" si="1"/>
        <v>1.9506890736659328</v>
      </c>
    </row>
    <row r="31" spans="1:18" x14ac:dyDescent="0.35">
      <c r="F31" s="35" t="s">
        <v>1</v>
      </c>
      <c r="G31" s="36">
        <f>3-H31-H32</f>
        <v>3</v>
      </c>
      <c r="H31" s="36">
        <f t="shared" si="2"/>
        <v>0</v>
      </c>
      <c r="J31" s="45"/>
      <c r="K31" s="6" t="s">
        <v>70</v>
      </c>
      <c r="L31" s="7" t="s">
        <v>18</v>
      </c>
      <c r="M31" s="52">
        <v>257.769523809524</v>
      </c>
      <c r="N31" s="62">
        <v>140.29999999999998</v>
      </c>
      <c r="O31" s="4">
        <v>0</v>
      </c>
      <c r="P31" s="11">
        <f t="shared" si="0"/>
        <v>134.20000000000002</v>
      </c>
      <c r="Q31" s="59">
        <v>122</v>
      </c>
      <c r="R31" s="66">
        <f t="shared" si="1"/>
        <v>1.8372738689203423</v>
      </c>
    </row>
    <row r="32" spans="1:18" x14ac:dyDescent="0.35">
      <c r="F32" s="35" t="s">
        <v>18</v>
      </c>
      <c r="G32" s="36">
        <f>2-H32</f>
        <v>2</v>
      </c>
      <c r="H32" s="36">
        <f t="shared" si="2"/>
        <v>0</v>
      </c>
      <c r="J32" s="45"/>
      <c r="K32" s="6" t="s">
        <v>60</v>
      </c>
      <c r="L32" s="7" t="s">
        <v>18</v>
      </c>
      <c r="M32" s="52">
        <v>256.98704761904798</v>
      </c>
      <c r="N32" s="62">
        <v>114.99999999999999</v>
      </c>
      <c r="O32" s="4">
        <v>0</v>
      </c>
      <c r="P32" s="11">
        <f t="shared" si="0"/>
        <v>110.00000000000001</v>
      </c>
      <c r="Q32" s="59">
        <v>100</v>
      </c>
      <c r="R32" s="66">
        <f t="shared" si="1"/>
        <v>2.2346699792960698</v>
      </c>
    </row>
    <row r="33" spans="6:18" x14ac:dyDescent="0.35">
      <c r="F33" s="35" t="s">
        <v>2</v>
      </c>
      <c r="G33" s="36">
        <f>2-H33-H34</f>
        <v>2</v>
      </c>
      <c r="H33" s="36">
        <f t="shared" si="2"/>
        <v>0</v>
      </c>
      <c r="J33" s="45"/>
      <c r="K33" s="6" t="s">
        <v>71</v>
      </c>
      <c r="L33" s="7" t="s">
        <v>18</v>
      </c>
      <c r="M33" s="52">
        <v>249.23176190476201</v>
      </c>
      <c r="N33" s="62">
        <v>96.6</v>
      </c>
      <c r="O33" s="4">
        <v>0</v>
      </c>
      <c r="P33" s="11">
        <f t="shared" si="0"/>
        <v>92.4</v>
      </c>
      <c r="Q33" s="59">
        <v>84</v>
      </c>
      <c r="R33" s="66">
        <f t="shared" si="1"/>
        <v>2.5800389431134785</v>
      </c>
    </row>
    <row r="34" spans="6:18" x14ac:dyDescent="0.35">
      <c r="F34" s="35" t="s">
        <v>21</v>
      </c>
      <c r="G34" s="36">
        <f>2-H34</f>
        <v>2</v>
      </c>
      <c r="H34" s="36">
        <f t="shared" si="2"/>
        <v>0</v>
      </c>
      <c r="J34" s="45"/>
      <c r="K34" s="6" t="s">
        <v>67</v>
      </c>
      <c r="L34" s="7" t="s">
        <v>18</v>
      </c>
      <c r="M34" s="52">
        <v>247.62395238095201</v>
      </c>
      <c r="N34" s="62">
        <v>101.19999999999999</v>
      </c>
      <c r="O34" s="4">
        <v>0</v>
      </c>
      <c r="P34" s="11">
        <f t="shared" si="0"/>
        <v>96.800000000000011</v>
      </c>
      <c r="Q34" s="59">
        <v>88</v>
      </c>
      <c r="R34" s="66">
        <f t="shared" si="1"/>
        <v>2.4468769998117792</v>
      </c>
    </row>
    <row r="35" spans="6:18" x14ac:dyDescent="0.35">
      <c r="F35" s="35" t="s">
        <v>3</v>
      </c>
      <c r="G35" s="36">
        <f>2-H35</f>
        <v>2</v>
      </c>
      <c r="H35" s="36">
        <f t="shared" si="2"/>
        <v>0</v>
      </c>
      <c r="J35" s="45"/>
      <c r="K35" s="6" t="s">
        <v>53</v>
      </c>
      <c r="L35" s="7" t="s">
        <v>18</v>
      </c>
      <c r="M35" s="52">
        <v>228.63050000000001</v>
      </c>
      <c r="N35" s="62">
        <v>114.99999999999999</v>
      </c>
      <c r="O35" s="4">
        <v>0</v>
      </c>
      <c r="P35" s="11">
        <f>Q35*1.1</f>
        <v>110.00000000000001</v>
      </c>
      <c r="Q35" s="59">
        <v>100</v>
      </c>
      <c r="R35" s="66">
        <f t="shared" si="1"/>
        <v>1.9880913043478263</v>
      </c>
    </row>
    <row r="36" spans="6:18" x14ac:dyDescent="0.35">
      <c r="F36" s="35" t="s">
        <v>5</v>
      </c>
      <c r="G36" s="36">
        <f>1-H36</f>
        <v>1</v>
      </c>
      <c r="H36" s="36">
        <f t="shared" si="2"/>
        <v>0</v>
      </c>
      <c r="J36" s="45"/>
      <c r="K36" s="6" t="s">
        <v>66</v>
      </c>
      <c r="L36" s="7" t="s">
        <v>1</v>
      </c>
      <c r="M36" s="52">
        <v>238.54738095238099</v>
      </c>
      <c r="N36" s="62">
        <v>87.399999999999991</v>
      </c>
      <c r="O36" s="4">
        <v>0</v>
      </c>
      <c r="P36" s="11">
        <f t="shared" si="0"/>
        <v>83.600000000000009</v>
      </c>
      <c r="Q36" s="59">
        <v>76</v>
      </c>
      <c r="R36" s="66">
        <f t="shared" si="1"/>
        <v>2.7293750681050457</v>
      </c>
    </row>
    <row r="37" spans="6:18" ht="15" thickBot="1" x14ac:dyDescent="0.4">
      <c r="F37" s="37" t="s">
        <v>4</v>
      </c>
      <c r="G37" s="38">
        <f>1-H37</f>
        <v>1</v>
      </c>
      <c r="H37" s="38">
        <f t="shared" si="2"/>
        <v>0</v>
      </c>
      <c r="J37" s="45"/>
      <c r="K37" s="6" t="s">
        <v>47</v>
      </c>
      <c r="L37" s="7" t="s">
        <v>1</v>
      </c>
      <c r="M37" s="52">
        <v>236.07545238095199</v>
      </c>
      <c r="N37" s="62">
        <v>82.8</v>
      </c>
      <c r="O37" s="4">
        <v>1</v>
      </c>
      <c r="P37" s="11">
        <f t="shared" si="0"/>
        <v>79.2</v>
      </c>
      <c r="Q37" s="59">
        <v>72</v>
      </c>
      <c r="R37" s="66">
        <f t="shared" si="1"/>
        <v>2.8511528065332366</v>
      </c>
    </row>
    <row r="38" spans="6:18" ht="15" thickBot="1" x14ac:dyDescent="0.4">
      <c r="F38" s="14" t="s">
        <v>178</v>
      </c>
      <c r="G38" s="15">
        <f>9-H38</f>
        <v>9</v>
      </c>
      <c r="H38" s="39">
        <f>SUM(H30:H37)</f>
        <v>0</v>
      </c>
      <c r="J38" s="45"/>
      <c r="K38" s="6" t="s">
        <v>46</v>
      </c>
      <c r="L38" s="7" t="s">
        <v>1</v>
      </c>
      <c r="M38" s="52">
        <v>232.65630952380999</v>
      </c>
      <c r="N38" s="62">
        <v>82.8</v>
      </c>
      <c r="O38" s="4">
        <v>0</v>
      </c>
      <c r="P38" s="11">
        <f t="shared" si="0"/>
        <v>79.2</v>
      </c>
      <c r="Q38" s="59">
        <v>72</v>
      </c>
      <c r="R38" s="66">
        <f t="shared" si="1"/>
        <v>2.8098588106740339</v>
      </c>
    </row>
    <row r="39" spans="6:18" x14ac:dyDescent="0.35">
      <c r="F39" s="16"/>
      <c r="G39" s="16"/>
      <c r="H39" s="16"/>
      <c r="J39" s="45"/>
      <c r="K39" s="6" t="s">
        <v>186</v>
      </c>
      <c r="L39" s="7" t="s">
        <v>1</v>
      </c>
      <c r="M39" s="52">
        <v>229.73895238095201</v>
      </c>
      <c r="N39" s="62">
        <v>87.399999999999991</v>
      </c>
      <c r="O39" s="4">
        <v>0</v>
      </c>
      <c r="P39" s="11">
        <f t="shared" si="0"/>
        <v>83.600000000000009</v>
      </c>
      <c r="Q39" s="59">
        <v>76</v>
      </c>
      <c r="R39" s="66">
        <f t="shared" si="1"/>
        <v>2.628592132505172</v>
      </c>
    </row>
    <row r="40" spans="6:18" x14ac:dyDescent="0.35">
      <c r="F40" s="16" t="s">
        <v>181</v>
      </c>
      <c r="G40" s="16"/>
      <c r="H40" s="16">
        <f>SUMPRODUCT(J2:J197,O2:O197)</f>
        <v>0</v>
      </c>
      <c r="J40" s="45"/>
      <c r="K40" s="6" t="s">
        <v>79</v>
      </c>
      <c r="L40" s="7" t="s">
        <v>1</v>
      </c>
      <c r="M40" s="52">
        <v>215.74752380952401</v>
      </c>
      <c r="N40" s="62">
        <v>82.8</v>
      </c>
      <c r="O40" s="4">
        <v>0</v>
      </c>
      <c r="P40" s="11">
        <f t="shared" si="0"/>
        <v>79.2</v>
      </c>
      <c r="Q40" s="59">
        <v>72</v>
      </c>
      <c r="R40" s="66">
        <f t="shared" si="1"/>
        <v>2.6056464228203384</v>
      </c>
    </row>
    <row r="41" spans="6:18" x14ac:dyDescent="0.35">
      <c r="F41" s="16"/>
      <c r="G41" s="16"/>
      <c r="H41" s="16"/>
      <c r="J41" s="45">
        <v>10</v>
      </c>
      <c r="K41" s="6" t="s">
        <v>68</v>
      </c>
      <c r="L41" s="7" t="s">
        <v>1</v>
      </c>
      <c r="M41" s="52">
        <v>214.27757142857101</v>
      </c>
      <c r="N41" s="62">
        <v>50.599999999999994</v>
      </c>
      <c r="O41" s="4">
        <v>0</v>
      </c>
      <c r="P41" s="11">
        <f t="shared" si="0"/>
        <v>48.400000000000006</v>
      </c>
      <c r="Q41" s="59">
        <v>44</v>
      </c>
      <c r="R41" s="66">
        <f t="shared" si="1"/>
        <v>4.2347346132128658</v>
      </c>
    </row>
    <row r="42" spans="6:18" x14ac:dyDescent="0.35">
      <c r="F42" s="16"/>
      <c r="G42" s="16"/>
      <c r="H42" s="16"/>
      <c r="J42" s="45"/>
      <c r="K42" s="6" t="s">
        <v>187</v>
      </c>
      <c r="L42" s="7" t="s">
        <v>1</v>
      </c>
      <c r="M42" s="52">
        <v>209.26180952381</v>
      </c>
      <c r="N42" s="62">
        <v>82.8</v>
      </c>
      <c r="O42" s="4">
        <v>0</v>
      </c>
      <c r="P42" s="11">
        <f t="shared" si="0"/>
        <v>79.2</v>
      </c>
      <c r="Q42" s="59">
        <v>72</v>
      </c>
      <c r="R42" s="66">
        <f t="shared" si="1"/>
        <v>2.5273165401426327</v>
      </c>
    </row>
    <row r="43" spans="6:18" x14ac:dyDescent="0.35">
      <c r="F43" s="16"/>
      <c r="G43" s="16"/>
      <c r="H43" s="16"/>
      <c r="J43" s="45"/>
      <c r="K43" s="6" t="s">
        <v>56</v>
      </c>
      <c r="L43" s="7" t="s">
        <v>1</v>
      </c>
      <c r="M43" s="52">
        <v>209.1</v>
      </c>
      <c r="N43" s="62">
        <v>56.349999999999994</v>
      </c>
      <c r="O43" s="4">
        <v>0</v>
      </c>
      <c r="P43" s="11">
        <f t="shared" si="0"/>
        <v>53.900000000000006</v>
      </c>
      <c r="Q43" s="59">
        <v>49</v>
      </c>
      <c r="R43" s="66">
        <f t="shared" si="1"/>
        <v>3.710736468500444</v>
      </c>
    </row>
    <row r="44" spans="6:18" x14ac:dyDescent="0.35">
      <c r="F44" s="16"/>
      <c r="G44" s="16"/>
      <c r="H44" s="16"/>
      <c r="J44" s="45"/>
      <c r="K44" s="6" t="s">
        <v>55</v>
      </c>
      <c r="L44" s="7" t="s">
        <v>1</v>
      </c>
      <c r="M44" s="52">
        <v>204.047</v>
      </c>
      <c r="N44" s="62">
        <v>74.75</v>
      </c>
      <c r="O44" s="4">
        <v>0</v>
      </c>
      <c r="P44" s="11">
        <f t="shared" si="0"/>
        <v>71.5</v>
      </c>
      <c r="Q44" s="59">
        <v>65</v>
      </c>
      <c r="R44" s="66">
        <f t="shared" si="1"/>
        <v>2.7297257525083611</v>
      </c>
    </row>
    <row r="45" spans="6:18" x14ac:dyDescent="0.35">
      <c r="F45" s="16"/>
      <c r="G45" s="16"/>
      <c r="H45" s="16"/>
      <c r="J45" s="45"/>
      <c r="K45" s="6" t="s">
        <v>188</v>
      </c>
      <c r="L45" s="7" t="s">
        <v>1</v>
      </c>
      <c r="M45" s="52">
        <v>203.14864285714299</v>
      </c>
      <c r="N45" s="62">
        <v>48.3</v>
      </c>
      <c r="O45" s="4">
        <v>0</v>
      </c>
      <c r="P45" s="11">
        <f t="shared" si="0"/>
        <v>46.2</v>
      </c>
      <c r="Q45" s="59">
        <v>42</v>
      </c>
      <c r="R45" s="66">
        <f t="shared" si="1"/>
        <v>4.2059760425909527</v>
      </c>
    </row>
    <row r="46" spans="6:18" x14ac:dyDescent="0.35">
      <c r="F46" s="16"/>
      <c r="G46" s="16"/>
      <c r="H46" s="16"/>
      <c r="J46" s="45">
        <v>10</v>
      </c>
      <c r="K46" s="6" t="s">
        <v>50</v>
      </c>
      <c r="L46" s="7" t="s">
        <v>1</v>
      </c>
      <c r="M46" s="52">
        <v>202.51276190476199</v>
      </c>
      <c r="N46" s="62">
        <v>20.7</v>
      </c>
      <c r="O46" s="4">
        <v>0</v>
      </c>
      <c r="P46" s="11">
        <f t="shared" si="0"/>
        <v>19.8</v>
      </c>
      <c r="Q46" s="59">
        <v>18</v>
      </c>
      <c r="R46" s="66">
        <f t="shared" si="1"/>
        <v>9.783225212790434</v>
      </c>
    </row>
    <row r="47" spans="6:18" x14ac:dyDescent="0.35">
      <c r="F47" s="16"/>
      <c r="G47" s="16"/>
      <c r="H47" s="16"/>
      <c r="J47" s="45"/>
      <c r="K47" s="6" t="s">
        <v>189</v>
      </c>
      <c r="L47" s="7" t="s">
        <v>1</v>
      </c>
      <c r="M47" s="52">
        <v>198.66619047619</v>
      </c>
      <c r="N47" s="62">
        <v>60.949999999999996</v>
      </c>
      <c r="O47" s="4">
        <v>0</v>
      </c>
      <c r="P47" s="11">
        <f t="shared" si="0"/>
        <v>58.300000000000004</v>
      </c>
      <c r="Q47" s="59">
        <v>53</v>
      </c>
      <c r="R47" s="66">
        <f t="shared" si="1"/>
        <v>3.2594945115043479</v>
      </c>
    </row>
    <row r="48" spans="6:18" x14ac:dyDescent="0.35">
      <c r="F48" s="16"/>
      <c r="G48" s="16"/>
      <c r="H48" s="16"/>
      <c r="J48" s="45">
        <v>10</v>
      </c>
      <c r="K48" s="6" t="s">
        <v>58</v>
      </c>
      <c r="L48" s="7" t="s">
        <v>1</v>
      </c>
      <c r="M48" s="52">
        <v>195.63038095238099</v>
      </c>
      <c r="N48" s="62">
        <v>25.299999999999997</v>
      </c>
      <c r="O48" s="4">
        <v>0</v>
      </c>
      <c r="P48" s="11">
        <f t="shared" si="0"/>
        <v>24.200000000000003</v>
      </c>
      <c r="Q48" s="59">
        <v>22</v>
      </c>
      <c r="R48" s="66">
        <f t="shared" si="1"/>
        <v>7.7324261246000399</v>
      </c>
    </row>
    <row r="49" spans="6:18" x14ac:dyDescent="0.35">
      <c r="F49" s="16"/>
      <c r="G49" s="16"/>
      <c r="H49" s="16"/>
      <c r="J49" s="45"/>
      <c r="K49" s="6" t="s">
        <v>49</v>
      </c>
      <c r="L49" s="7" t="s">
        <v>1</v>
      </c>
      <c r="M49" s="52">
        <v>195.19735714285699</v>
      </c>
      <c r="N49" s="62">
        <v>62.099999999999994</v>
      </c>
      <c r="O49" s="4">
        <v>0</v>
      </c>
      <c r="P49" s="11">
        <f t="shared" si="0"/>
        <v>59.400000000000006</v>
      </c>
      <c r="Q49" s="59">
        <v>54</v>
      </c>
      <c r="R49" s="66">
        <f t="shared" si="1"/>
        <v>3.1432746721877134</v>
      </c>
    </row>
    <row r="50" spans="6:18" x14ac:dyDescent="0.35">
      <c r="F50" s="16"/>
      <c r="G50" s="16"/>
      <c r="H50" s="16"/>
      <c r="J50" s="45">
        <v>10</v>
      </c>
      <c r="K50" s="6" t="s">
        <v>69</v>
      </c>
      <c r="L50" s="7" t="s">
        <v>1</v>
      </c>
      <c r="M50" s="52">
        <v>191.69642857142901</v>
      </c>
      <c r="N50" s="62">
        <v>69</v>
      </c>
      <c r="O50" s="4">
        <v>0</v>
      </c>
      <c r="P50" s="11">
        <f t="shared" si="0"/>
        <v>66</v>
      </c>
      <c r="Q50" s="59">
        <v>60</v>
      </c>
      <c r="R50" s="66">
        <f t="shared" si="1"/>
        <v>2.778209109730855</v>
      </c>
    </row>
    <row r="51" spans="6:18" x14ac:dyDescent="0.35">
      <c r="F51" s="16"/>
      <c r="G51" s="16"/>
      <c r="H51" s="16"/>
      <c r="J51" s="45">
        <v>10</v>
      </c>
      <c r="K51" s="6" t="s">
        <v>190</v>
      </c>
      <c r="L51" s="7" t="s">
        <v>1</v>
      </c>
      <c r="M51" s="52">
        <v>190.90830952381</v>
      </c>
      <c r="N51" s="62">
        <v>14.95</v>
      </c>
      <c r="O51" s="4">
        <v>0</v>
      </c>
      <c r="P51" s="11">
        <f t="shared" si="0"/>
        <v>14.3</v>
      </c>
      <c r="Q51" s="59">
        <v>13</v>
      </c>
      <c r="R51" s="66">
        <f t="shared" si="1"/>
        <v>12.769786590221406</v>
      </c>
    </row>
    <row r="52" spans="6:18" x14ac:dyDescent="0.35">
      <c r="F52" s="16"/>
      <c r="G52" s="16"/>
      <c r="H52" s="16"/>
      <c r="J52" s="45">
        <v>10</v>
      </c>
      <c r="K52" s="6" t="s">
        <v>51</v>
      </c>
      <c r="L52" s="7" t="s">
        <v>1</v>
      </c>
      <c r="M52" s="52">
        <v>185.81004761904799</v>
      </c>
      <c r="N52" s="62">
        <v>29.9</v>
      </c>
      <c r="O52" s="4">
        <v>0</v>
      </c>
      <c r="P52" s="11">
        <f t="shared" si="0"/>
        <v>28.6</v>
      </c>
      <c r="Q52" s="59">
        <v>26</v>
      </c>
      <c r="R52" s="66">
        <f t="shared" si="1"/>
        <v>6.2143828635133112</v>
      </c>
    </row>
    <row r="53" spans="6:18" x14ac:dyDescent="0.35">
      <c r="F53" s="16"/>
      <c r="G53" s="16"/>
      <c r="H53" s="16"/>
      <c r="J53" s="45"/>
      <c r="K53" s="6" t="s">
        <v>77</v>
      </c>
      <c r="L53" s="7" t="s">
        <v>1</v>
      </c>
      <c r="M53" s="52">
        <v>181.30711904761901</v>
      </c>
      <c r="N53" s="62">
        <v>25.299999999999997</v>
      </c>
      <c r="O53" s="4">
        <v>0</v>
      </c>
      <c r="P53" s="11">
        <f t="shared" si="0"/>
        <v>24.200000000000003</v>
      </c>
      <c r="Q53" s="59">
        <v>22</v>
      </c>
      <c r="R53" s="66">
        <f t="shared" si="1"/>
        <v>7.1662892904197246</v>
      </c>
    </row>
    <row r="54" spans="6:18" x14ac:dyDescent="0.35">
      <c r="F54" s="16"/>
      <c r="G54" s="16"/>
      <c r="H54" s="16"/>
      <c r="J54" s="45"/>
      <c r="K54" s="6" t="s">
        <v>65</v>
      </c>
      <c r="L54" s="7" t="s">
        <v>1</v>
      </c>
      <c r="M54" s="52">
        <v>179.81083333333299</v>
      </c>
      <c r="N54" s="62">
        <v>46</v>
      </c>
      <c r="O54" s="4">
        <v>0</v>
      </c>
      <c r="P54" s="11">
        <f t="shared" si="0"/>
        <v>44</v>
      </c>
      <c r="Q54" s="59">
        <v>40</v>
      </c>
      <c r="R54" s="66">
        <f t="shared" si="1"/>
        <v>3.9089311594202827</v>
      </c>
    </row>
    <row r="55" spans="6:18" x14ac:dyDescent="0.35">
      <c r="F55" s="16"/>
      <c r="G55" s="16"/>
      <c r="H55" s="16"/>
      <c r="J55" s="45">
        <v>10</v>
      </c>
      <c r="K55" s="6" t="s">
        <v>191</v>
      </c>
      <c r="L55" s="7" t="s">
        <v>1</v>
      </c>
      <c r="M55" s="52">
        <v>178.08442857142899</v>
      </c>
      <c r="N55" s="62">
        <v>6.8999999999999995</v>
      </c>
      <c r="O55" s="4">
        <v>0</v>
      </c>
      <c r="P55" s="11">
        <f t="shared" si="0"/>
        <v>6.6000000000000005</v>
      </c>
      <c r="Q55" s="59">
        <v>6</v>
      </c>
      <c r="R55" s="66">
        <f t="shared" si="1"/>
        <v>25.809337474120145</v>
      </c>
    </row>
    <row r="56" spans="6:18" x14ac:dyDescent="0.35">
      <c r="F56" s="16"/>
      <c r="G56" s="16"/>
      <c r="H56" s="16"/>
      <c r="J56" s="45"/>
      <c r="K56" s="6" t="s">
        <v>192</v>
      </c>
      <c r="L56" s="7" t="s">
        <v>1</v>
      </c>
      <c r="M56" s="52">
        <v>177.17969047619101</v>
      </c>
      <c r="N56" s="62">
        <v>48.3</v>
      </c>
      <c r="O56" s="4">
        <v>0</v>
      </c>
      <c r="P56" s="11">
        <f t="shared" si="0"/>
        <v>46.2</v>
      </c>
      <c r="Q56" s="59">
        <v>42</v>
      </c>
      <c r="R56" s="66">
        <f t="shared" si="1"/>
        <v>3.6683165730060252</v>
      </c>
    </row>
    <row r="57" spans="6:18" x14ac:dyDescent="0.35">
      <c r="F57" s="16"/>
      <c r="G57" s="16"/>
      <c r="H57" s="16"/>
      <c r="J57" s="45"/>
      <c r="K57" s="6" t="s">
        <v>59</v>
      </c>
      <c r="L57" s="7" t="s">
        <v>1</v>
      </c>
      <c r="M57" s="52">
        <v>169.03609523809499</v>
      </c>
      <c r="N57" s="62">
        <v>25.299999999999997</v>
      </c>
      <c r="O57" s="4">
        <v>0</v>
      </c>
      <c r="P57" s="11">
        <f t="shared" si="0"/>
        <v>24.200000000000003</v>
      </c>
      <c r="Q57" s="59">
        <v>22</v>
      </c>
      <c r="R57" s="66">
        <f t="shared" si="1"/>
        <v>6.6812685864859684</v>
      </c>
    </row>
    <row r="58" spans="6:18" x14ac:dyDescent="0.35">
      <c r="F58" s="16"/>
      <c r="G58" s="16"/>
      <c r="H58" s="16"/>
      <c r="J58" s="45"/>
      <c r="K58" s="6" t="s">
        <v>61</v>
      </c>
      <c r="L58" s="7" t="s">
        <v>1</v>
      </c>
      <c r="M58" s="52">
        <v>168.18199999999999</v>
      </c>
      <c r="N58" s="62">
        <v>9.1999999999999993</v>
      </c>
      <c r="O58" s="4">
        <v>0</v>
      </c>
      <c r="P58" s="11">
        <f t="shared" si="0"/>
        <v>8.8000000000000007</v>
      </c>
      <c r="Q58" s="59">
        <v>8</v>
      </c>
      <c r="R58" s="66">
        <f t="shared" si="1"/>
        <v>18.280652173913044</v>
      </c>
    </row>
    <row r="59" spans="6:18" x14ac:dyDescent="0.35">
      <c r="F59" s="16"/>
      <c r="G59" s="16"/>
      <c r="H59" s="16"/>
      <c r="J59" s="45">
        <v>10</v>
      </c>
      <c r="K59" s="6" t="s">
        <v>57</v>
      </c>
      <c r="L59" s="7" t="s">
        <v>1</v>
      </c>
      <c r="M59" s="52">
        <v>163.08335714285701</v>
      </c>
      <c r="N59" s="62">
        <v>17.25</v>
      </c>
      <c r="O59" s="4">
        <v>0</v>
      </c>
      <c r="P59" s="11">
        <f t="shared" si="0"/>
        <v>16.5</v>
      </c>
      <c r="Q59" s="59">
        <v>15</v>
      </c>
      <c r="R59" s="66">
        <f t="shared" si="1"/>
        <v>9.4541076604554792</v>
      </c>
    </row>
    <row r="60" spans="6:18" x14ac:dyDescent="0.35">
      <c r="F60" s="16"/>
      <c r="G60" s="16"/>
      <c r="H60" s="16"/>
      <c r="J60" s="45">
        <v>10</v>
      </c>
      <c r="K60" s="6" t="s">
        <v>75</v>
      </c>
      <c r="L60" s="7" t="s">
        <v>1</v>
      </c>
      <c r="M60" s="52">
        <v>162.93211904761901</v>
      </c>
      <c r="N60" s="62">
        <v>14.95</v>
      </c>
      <c r="O60" s="4">
        <v>0</v>
      </c>
      <c r="P60" s="11">
        <f t="shared" si="0"/>
        <v>14.3</v>
      </c>
      <c r="Q60" s="59">
        <v>13</v>
      </c>
      <c r="R60" s="66">
        <f t="shared" si="1"/>
        <v>10.898469501512977</v>
      </c>
    </row>
    <row r="61" spans="6:18" x14ac:dyDescent="0.35">
      <c r="F61" s="16"/>
      <c r="G61" s="16"/>
      <c r="H61" s="16"/>
      <c r="J61" s="45"/>
      <c r="K61" s="6" t="s">
        <v>80</v>
      </c>
      <c r="L61" s="7" t="s">
        <v>1</v>
      </c>
      <c r="M61" s="52">
        <v>158.955095238095</v>
      </c>
      <c r="N61" s="62">
        <v>4.5999999999999996</v>
      </c>
      <c r="O61" s="4">
        <v>0</v>
      </c>
      <c r="P61" s="11">
        <f t="shared" si="0"/>
        <v>4.4000000000000004</v>
      </c>
      <c r="Q61" s="59">
        <v>4</v>
      </c>
      <c r="R61" s="66">
        <f t="shared" si="1"/>
        <v>34.555455486542392</v>
      </c>
    </row>
    <row r="62" spans="6:18" x14ac:dyDescent="0.35">
      <c r="F62" s="16"/>
      <c r="G62" s="16"/>
      <c r="H62" s="16"/>
      <c r="J62" s="45"/>
      <c r="K62" s="6" t="s">
        <v>62</v>
      </c>
      <c r="L62" s="7" t="s">
        <v>1</v>
      </c>
      <c r="M62" s="52">
        <v>153.29230952380999</v>
      </c>
      <c r="N62" s="62">
        <v>25.299999999999997</v>
      </c>
      <c r="O62" s="4">
        <v>0</v>
      </c>
      <c r="P62" s="11">
        <f t="shared" si="0"/>
        <v>24.200000000000003</v>
      </c>
      <c r="Q62" s="59">
        <v>22</v>
      </c>
      <c r="R62" s="66">
        <f t="shared" si="1"/>
        <v>6.0589845661584985</v>
      </c>
    </row>
    <row r="63" spans="6:18" x14ac:dyDescent="0.35">
      <c r="F63" s="16"/>
      <c r="G63" s="16"/>
      <c r="H63" s="16"/>
      <c r="J63" s="45">
        <v>10</v>
      </c>
      <c r="K63" s="6" t="s">
        <v>64</v>
      </c>
      <c r="L63" s="7" t="s">
        <v>1</v>
      </c>
      <c r="M63" s="52">
        <v>148.87673809523801</v>
      </c>
      <c r="N63" s="62">
        <v>46</v>
      </c>
      <c r="O63" s="4">
        <v>0</v>
      </c>
      <c r="P63" s="11">
        <f t="shared" si="0"/>
        <v>44</v>
      </c>
      <c r="Q63" s="59">
        <v>40</v>
      </c>
      <c r="R63" s="66">
        <f t="shared" si="1"/>
        <v>3.2364508281573481</v>
      </c>
    </row>
    <row r="64" spans="6:18" x14ac:dyDescent="0.35">
      <c r="F64" s="16"/>
      <c r="G64" s="16"/>
      <c r="H64" s="16"/>
      <c r="J64" s="45">
        <v>10</v>
      </c>
      <c r="K64" s="6" t="s">
        <v>72</v>
      </c>
      <c r="L64" s="7" t="s">
        <v>1</v>
      </c>
      <c r="M64" s="52">
        <v>143.73726190476199</v>
      </c>
      <c r="N64" s="62">
        <v>12.649999999999999</v>
      </c>
      <c r="O64" s="4">
        <v>0</v>
      </c>
      <c r="P64" s="11">
        <f t="shared" si="0"/>
        <v>12.100000000000001</v>
      </c>
      <c r="Q64" s="59">
        <v>11</v>
      </c>
      <c r="R64" s="66">
        <f t="shared" si="1"/>
        <v>11.362629399585929</v>
      </c>
    </row>
    <row r="65" spans="6:18" x14ac:dyDescent="0.35">
      <c r="F65" s="16"/>
      <c r="G65" s="16"/>
      <c r="H65" s="16"/>
      <c r="J65" s="45"/>
      <c r="K65" s="6" t="s">
        <v>76</v>
      </c>
      <c r="L65" s="7" t="s">
        <v>1</v>
      </c>
      <c r="M65" s="52">
        <v>132.09945238095199</v>
      </c>
      <c r="N65" s="62">
        <v>14.95</v>
      </c>
      <c r="O65" s="4">
        <v>0</v>
      </c>
      <c r="P65" s="11">
        <f t="shared" si="0"/>
        <v>14.3</v>
      </c>
      <c r="Q65" s="59">
        <v>13</v>
      </c>
      <c r="R65" s="66">
        <f t="shared" si="1"/>
        <v>8.8360837713011371</v>
      </c>
    </row>
    <row r="66" spans="6:18" x14ac:dyDescent="0.35">
      <c r="F66" s="16"/>
      <c r="G66" s="16"/>
      <c r="H66" s="16"/>
      <c r="J66" s="45"/>
      <c r="K66" s="6" t="s">
        <v>193</v>
      </c>
      <c r="L66" s="7" t="s">
        <v>1</v>
      </c>
      <c r="M66" s="52">
        <v>129.87546130952401</v>
      </c>
      <c r="N66" s="62">
        <v>2.2999999999999998</v>
      </c>
      <c r="O66" s="4">
        <v>0</v>
      </c>
      <c r="P66" s="11">
        <f t="shared" si="0"/>
        <v>2.2000000000000002</v>
      </c>
      <c r="Q66" s="59">
        <v>2</v>
      </c>
      <c r="R66" s="66">
        <f t="shared" si="1"/>
        <v>56.467591873706098</v>
      </c>
    </row>
    <row r="67" spans="6:18" x14ac:dyDescent="0.35">
      <c r="F67" s="16"/>
      <c r="G67" s="16"/>
      <c r="H67" s="16"/>
      <c r="J67" s="45"/>
      <c r="K67" s="6" t="s">
        <v>194</v>
      </c>
      <c r="L67" s="7" t="s">
        <v>1</v>
      </c>
      <c r="M67" s="52">
        <v>129.38319047619001</v>
      </c>
      <c r="N67" s="62">
        <v>17.25</v>
      </c>
      <c r="O67" s="4">
        <v>0</v>
      </c>
      <c r="P67" s="11">
        <f t="shared" ref="P67:P130" si="3">Q67*1.1</f>
        <v>16.5</v>
      </c>
      <c r="Q67" s="59">
        <v>15</v>
      </c>
      <c r="R67" s="66">
        <f t="shared" ref="R67:R130" si="4">M67/N67</f>
        <v>7.5004748102139134</v>
      </c>
    </row>
    <row r="68" spans="6:18" x14ac:dyDescent="0.35">
      <c r="F68" s="16"/>
      <c r="G68" s="16"/>
      <c r="H68" s="16"/>
      <c r="J68" s="45"/>
      <c r="K68" s="6" t="s">
        <v>195</v>
      </c>
      <c r="L68" s="7" t="s">
        <v>1</v>
      </c>
      <c r="M68" s="52">
        <v>127.152883597884</v>
      </c>
      <c r="N68" s="62">
        <v>12.649999999999999</v>
      </c>
      <c r="O68" s="4">
        <v>0</v>
      </c>
      <c r="P68" s="11">
        <f t="shared" si="3"/>
        <v>12.100000000000001</v>
      </c>
      <c r="Q68" s="59">
        <v>11</v>
      </c>
      <c r="R68" s="66">
        <f t="shared" si="4"/>
        <v>10.051611351611385</v>
      </c>
    </row>
    <row r="69" spans="6:18" x14ac:dyDescent="0.35">
      <c r="F69" s="16"/>
      <c r="G69" s="16"/>
      <c r="H69" s="16"/>
      <c r="J69" s="45"/>
      <c r="K69" s="6" t="s">
        <v>63</v>
      </c>
      <c r="L69" s="7" t="s">
        <v>1</v>
      </c>
      <c r="M69" s="52">
        <v>123.245380952381</v>
      </c>
      <c r="N69" s="62">
        <v>12.649999999999999</v>
      </c>
      <c r="O69" s="4">
        <v>0</v>
      </c>
      <c r="P69" s="11">
        <f t="shared" si="3"/>
        <v>12.100000000000001</v>
      </c>
      <c r="Q69" s="59">
        <v>11</v>
      </c>
      <c r="R69" s="66">
        <f t="shared" si="4"/>
        <v>9.7427178618483019</v>
      </c>
    </row>
    <row r="70" spans="6:18" x14ac:dyDescent="0.35">
      <c r="F70" s="16"/>
      <c r="G70" s="16"/>
      <c r="H70" s="16"/>
      <c r="J70" s="45"/>
      <c r="K70" s="6" t="s">
        <v>74</v>
      </c>
      <c r="L70" s="7" t="s">
        <v>1</v>
      </c>
      <c r="M70" s="52">
        <v>117.53130952380999</v>
      </c>
      <c r="N70" s="62">
        <v>6.8999999999999995</v>
      </c>
      <c r="O70" s="4">
        <v>0</v>
      </c>
      <c r="P70" s="11">
        <f t="shared" si="3"/>
        <v>6.6000000000000005</v>
      </c>
      <c r="Q70" s="59">
        <v>6</v>
      </c>
      <c r="R70" s="66">
        <f t="shared" si="4"/>
        <v>17.033523119392754</v>
      </c>
    </row>
    <row r="71" spans="6:18" x14ac:dyDescent="0.35">
      <c r="F71" s="16"/>
      <c r="G71" s="16"/>
      <c r="H71" s="16"/>
      <c r="J71" s="45"/>
      <c r="K71" s="6" t="s">
        <v>196</v>
      </c>
      <c r="L71" s="7" t="s">
        <v>1</v>
      </c>
      <c r="M71" s="52">
        <v>113.821619047619</v>
      </c>
      <c r="N71" s="62">
        <v>14.95</v>
      </c>
      <c r="O71" s="4">
        <v>0</v>
      </c>
      <c r="P71" s="11">
        <f t="shared" si="3"/>
        <v>14.3</v>
      </c>
      <c r="Q71" s="59">
        <v>13</v>
      </c>
      <c r="R71" s="66">
        <f t="shared" si="4"/>
        <v>7.6134862239210035</v>
      </c>
    </row>
    <row r="72" spans="6:18" x14ac:dyDescent="0.35">
      <c r="F72" s="16"/>
      <c r="G72" s="16"/>
      <c r="H72" s="16"/>
      <c r="J72" s="45"/>
      <c r="K72" s="6" t="s">
        <v>197</v>
      </c>
      <c r="L72" s="7" t="s">
        <v>1</v>
      </c>
      <c r="M72" s="52">
        <v>113.015</v>
      </c>
      <c r="N72" s="62">
        <v>20.7</v>
      </c>
      <c r="O72" s="4">
        <v>0</v>
      </c>
      <c r="P72" s="11">
        <f t="shared" si="3"/>
        <v>19.8</v>
      </c>
      <c r="Q72" s="59">
        <v>18</v>
      </c>
      <c r="R72" s="66">
        <f t="shared" si="4"/>
        <v>5.4596618357487925</v>
      </c>
    </row>
    <row r="73" spans="6:18" x14ac:dyDescent="0.35">
      <c r="F73" s="16"/>
      <c r="G73" s="16"/>
      <c r="H73" s="16"/>
      <c r="J73" s="45"/>
      <c r="K73" s="6" t="s">
        <v>78</v>
      </c>
      <c r="L73" s="7" t="s">
        <v>1</v>
      </c>
      <c r="M73" s="52">
        <v>112.81195238095199</v>
      </c>
      <c r="N73" s="62">
        <v>2.2999999999999998</v>
      </c>
      <c r="O73" s="4">
        <v>0</v>
      </c>
      <c r="P73" s="11">
        <f t="shared" si="3"/>
        <v>2.2000000000000002</v>
      </c>
      <c r="Q73" s="59">
        <v>2</v>
      </c>
      <c r="R73" s="66">
        <f t="shared" si="4"/>
        <v>49.048674948239999</v>
      </c>
    </row>
    <row r="74" spans="6:18" x14ac:dyDescent="0.35">
      <c r="F74" s="16"/>
      <c r="G74" s="16"/>
      <c r="H74" s="16"/>
      <c r="J74" s="45"/>
      <c r="K74" s="6" t="s">
        <v>198</v>
      </c>
      <c r="L74" s="7" t="s">
        <v>1</v>
      </c>
      <c r="M74" s="52">
        <v>110.949333333333</v>
      </c>
      <c r="N74" s="62">
        <v>12.649999999999999</v>
      </c>
      <c r="O74" s="4">
        <v>0</v>
      </c>
      <c r="P74" s="11">
        <f t="shared" si="3"/>
        <v>12.100000000000001</v>
      </c>
      <c r="Q74" s="59">
        <v>11</v>
      </c>
      <c r="R74" s="66">
        <f t="shared" si="4"/>
        <v>8.7706982872200019</v>
      </c>
    </row>
    <row r="75" spans="6:18" x14ac:dyDescent="0.35">
      <c r="F75" s="16"/>
      <c r="G75" s="16"/>
      <c r="H75" s="16"/>
      <c r="J75" s="45"/>
      <c r="K75" s="6" t="s">
        <v>73</v>
      </c>
      <c r="L75" s="7" t="s">
        <v>1</v>
      </c>
      <c r="M75" s="52">
        <v>106.100666666667</v>
      </c>
      <c r="N75" s="62">
        <v>2.2999999999999998</v>
      </c>
      <c r="O75" s="4">
        <v>0</v>
      </c>
      <c r="P75" s="11">
        <f t="shared" si="3"/>
        <v>2.2000000000000002</v>
      </c>
      <c r="Q75" s="59">
        <v>2</v>
      </c>
      <c r="R75" s="66">
        <f t="shared" si="4"/>
        <v>46.130724637681304</v>
      </c>
    </row>
    <row r="76" spans="6:18" x14ac:dyDescent="0.35">
      <c r="F76" s="16"/>
      <c r="G76" s="16"/>
      <c r="H76" s="16"/>
      <c r="J76" s="45"/>
      <c r="K76" s="6" t="s">
        <v>199</v>
      </c>
      <c r="L76" s="7" t="s">
        <v>1</v>
      </c>
      <c r="M76" s="52">
        <v>104.525785714286</v>
      </c>
      <c r="N76" s="62">
        <v>2.2999999999999998</v>
      </c>
      <c r="O76" s="4">
        <v>0</v>
      </c>
      <c r="P76" s="11">
        <f t="shared" si="3"/>
        <v>2.2000000000000002</v>
      </c>
      <c r="Q76" s="59">
        <v>2</v>
      </c>
      <c r="R76" s="66">
        <f t="shared" si="4"/>
        <v>45.445993788820005</v>
      </c>
    </row>
    <row r="77" spans="6:18" x14ac:dyDescent="0.35">
      <c r="F77" s="16"/>
      <c r="G77" s="16"/>
      <c r="H77" s="16"/>
      <c r="J77" s="45"/>
      <c r="K77" s="6" t="s">
        <v>81</v>
      </c>
      <c r="L77" s="7" t="s">
        <v>3</v>
      </c>
      <c r="M77" s="52">
        <v>257.291071428571</v>
      </c>
      <c r="N77" s="62">
        <v>134.54999999999998</v>
      </c>
      <c r="O77" s="4">
        <v>0</v>
      </c>
      <c r="P77" s="11">
        <f t="shared" si="3"/>
        <v>128.70000000000002</v>
      </c>
      <c r="Q77" s="59">
        <v>117</v>
      </c>
      <c r="R77" s="66">
        <f t="shared" si="4"/>
        <v>1.9122339013643332</v>
      </c>
    </row>
    <row r="78" spans="6:18" x14ac:dyDescent="0.35">
      <c r="F78" s="16"/>
      <c r="G78" s="16"/>
      <c r="H78" s="16"/>
      <c r="J78" s="45"/>
      <c r="K78" s="6" t="s">
        <v>200</v>
      </c>
      <c r="L78" s="7" t="s">
        <v>3</v>
      </c>
      <c r="M78" s="52">
        <v>210.37404761904801</v>
      </c>
      <c r="N78" s="62">
        <v>65.55</v>
      </c>
      <c r="O78" s="4">
        <v>0</v>
      </c>
      <c r="P78" s="11">
        <f t="shared" si="3"/>
        <v>62.7</v>
      </c>
      <c r="Q78" s="59">
        <v>57</v>
      </c>
      <c r="R78" s="66">
        <f t="shared" si="4"/>
        <v>3.2093676219534406</v>
      </c>
    </row>
    <row r="79" spans="6:18" x14ac:dyDescent="0.35">
      <c r="F79" s="16"/>
      <c r="G79" s="16"/>
      <c r="H79" s="16"/>
      <c r="J79" s="45"/>
      <c r="K79" s="6" t="s">
        <v>201</v>
      </c>
      <c r="L79" s="7" t="s">
        <v>3</v>
      </c>
      <c r="M79" s="52">
        <v>196.91702380952401</v>
      </c>
      <c r="N79" s="62">
        <v>48.3</v>
      </c>
      <c r="O79" s="4">
        <v>0</v>
      </c>
      <c r="P79" s="11">
        <f t="shared" si="3"/>
        <v>46.2</v>
      </c>
      <c r="Q79" s="59">
        <v>42</v>
      </c>
      <c r="R79" s="66">
        <f t="shared" si="4"/>
        <v>4.0769570146899383</v>
      </c>
    </row>
    <row r="80" spans="6:18" x14ac:dyDescent="0.35">
      <c r="F80" s="16"/>
      <c r="G80" s="16"/>
      <c r="H80" s="16"/>
      <c r="J80" s="45">
        <v>10</v>
      </c>
      <c r="K80" s="6" t="s">
        <v>82</v>
      </c>
      <c r="L80" s="7" t="s">
        <v>3</v>
      </c>
      <c r="M80" s="52">
        <v>186.43130952381</v>
      </c>
      <c r="N80" s="62">
        <v>17.25</v>
      </c>
      <c r="O80" s="4">
        <v>0</v>
      </c>
      <c r="P80" s="11">
        <f t="shared" si="3"/>
        <v>16.5</v>
      </c>
      <c r="Q80" s="59">
        <v>15</v>
      </c>
      <c r="R80" s="66">
        <f t="shared" si="4"/>
        <v>10.807612146307827</v>
      </c>
    </row>
    <row r="81" spans="6:18" x14ac:dyDescent="0.35">
      <c r="F81" s="16"/>
      <c r="G81" s="16"/>
      <c r="H81" s="16"/>
      <c r="J81" s="45"/>
      <c r="K81" s="6" t="s">
        <v>86</v>
      </c>
      <c r="L81" s="7" t="s">
        <v>3</v>
      </c>
      <c r="M81" s="52">
        <v>183.661666666667</v>
      </c>
      <c r="N81" s="62">
        <v>37.949999999999996</v>
      </c>
      <c r="O81" s="4">
        <v>0</v>
      </c>
      <c r="P81" s="11">
        <f t="shared" si="3"/>
        <v>36.300000000000004</v>
      </c>
      <c r="Q81" s="59">
        <v>33</v>
      </c>
      <c r="R81" s="66">
        <f t="shared" si="4"/>
        <v>4.8395696091348359</v>
      </c>
    </row>
    <row r="82" spans="6:18" x14ac:dyDescent="0.35">
      <c r="F82" s="16"/>
      <c r="G82" s="16"/>
      <c r="H82" s="16"/>
      <c r="J82" s="45"/>
      <c r="K82" s="6" t="s">
        <v>83</v>
      </c>
      <c r="L82" s="7" t="s">
        <v>3</v>
      </c>
      <c r="M82" s="52">
        <v>170.88499999999999</v>
      </c>
      <c r="N82" s="62">
        <v>19.549999999999997</v>
      </c>
      <c r="O82" s="4">
        <v>0</v>
      </c>
      <c r="P82" s="11">
        <f t="shared" si="3"/>
        <v>18.700000000000003</v>
      </c>
      <c r="Q82" s="59">
        <v>17</v>
      </c>
      <c r="R82" s="66">
        <f t="shared" si="4"/>
        <v>8.740920716112532</v>
      </c>
    </row>
    <row r="83" spans="6:18" x14ac:dyDescent="0.35">
      <c r="F83" s="16"/>
      <c r="G83" s="16"/>
      <c r="H83" s="16"/>
      <c r="J83" s="45"/>
      <c r="K83" s="6" t="s">
        <v>202</v>
      </c>
      <c r="L83" s="7" t="s">
        <v>3</v>
      </c>
      <c r="M83" s="52">
        <v>170.57119047619</v>
      </c>
      <c r="N83" s="62">
        <v>14.95</v>
      </c>
      <c r="O83" s="4">
        <v>1</v>
      </c>
      <c r="P83" s="11">
        <f t="shared" si="3"/>
        <v>14.3</v>
      </c>
      <c r="Q83" s="59">
        <v>13</v>
      </c>
      <c r="R83" s="66">
        <f t="shared" si="4"/>
        <v>11.409444179009364</v>
      </c>
    </row>
    <row r="84" spans="6:18" x14ac:dyDescent="0.35">
      <c r="F84" s="16"/>
      <c r="G84" s="16"/>
      <c r="H84" s="16"/>
      <c r="J84" s="45"/>
      <c r="K84" s="6" t="s">
        <v>203</v>
      </c>
      <c r="L84" s="7" t="s">
        <v>3</v>
      </c>
      <c r="M84" s="52">
        <v>164.833333333333</v>
      </c>
      <c r="N84" s="62">
        <v>14.95</v>
      </c>
      <c r="O84" s="4">
        <v>0</v>
      </c>
      <c r="P84" s="11">
        <f t="shared" si="3"/>
        <v>14.3</v>
      </c>
      <c r="Q84" s="59">
        <v>13</v>
      </c>
      <c r="R84" s="66">
        <f t="shared" si="4"/>
        <v>11.025641025641004</v>
      </c>
    </row>
    <row r="85" spans="6:18" x14ac:dyDescent="0.35">
      <c r="F85" s="16"/>
      <c r="G85" s="16"/>
      <c r="H85" s="16"/>
      <c r="J85" s="45"/>
      <c r="K85" s="6" t="s">
        <v>85</v>
      </c>
      <c r="L85" s="7" t="s">
        <v>3</v>
      </c>
      <c r="M85" s="52">
        <v>152.30154761904799</v>
      </c>
      <c r="N85" s="62">
        <v>10.35</v>
      </c>
      <c r="O85" s="4">
        <v>0</v>
      </c>
      <c r="P85" s="11">
        <f t="shared" si="3"/>
        <v>9.9</v>
      </c>
      <c r="Q85" s="59">
        <v>9</v>
      </c>
      <c r="R85" s="66">
        <f t="shared" si="4"/>
        <v>14.715125373821063</v>
      </c>
    </row>
    <row r="86" spans="6:18" x14ac:dyDescent="0.35">
      <c r="F86" s="16"/>
      <c r="G86" s="16"/>
      <c r="H86" s="16"/>
      <c r="J86" s="45"/>
      <c r="K86" s="6" t="s">
        <v>204</v>
      </c>
      <c r="L86" s="7" t="s">
        <v>3</v>
      </c>
      <c r="M86" s="52">
        <v>147.67333333333301</v>
      </c>
      <c r="N86" s="62">
        <v>14.95</v>
      </c>
      <c r="O86" s="4">
        <v>0</v>
      </c>
      <c r="P86" s="11">
        <f t="shared" si="3"/>
        <v>14.3</v>
      </c>
      <c r="Q86" s="59">
        <v>13</v>
      </c>
      <c r="R86" s="66">
        <f t="shared" si="4"/>
        <v>9.877814938684482</v>
      </c>
    </row>
    <row r="87" spans="6:18" x14ac:dyDescent="0.35">
      <c r="F87" s="16"/>
      <c r="G87" s="16"/>
      <c r="H87" s="16"/>
      <c r="J87" s="45"/>
      <c r="K87" s="6" t="s">
        <v>88</v>
      </c>
      <c r="L87" s="7" t="s">
        <v>3</v>
      </c>
      <c r="M87" s="52">
        <v>145.60571428571399</v>
      </c>
      <c r="N87" s="62">
        <v>2.2999999999999998</v>
      </c>
      <c r="O87" s="4">
        <v>0</v>
      </c>
      <c r="P87" s="11">
        <f t="shared" si="3"/>
        <v>2.2000000000000002</v>
      </c>
      <c r="Q87" s="59">
        <v>2</v>
      </c>
      <c r="R87" s="66">
        <f t="shared" si="4"/>
        <v>63.30683229813652</v>
      </c>
    </row>
    <row r="88" spans="6:18" x14ac:dyDescent="0.35">
      <c r="F88" s="16"/>
      <c r="G88" s="16"/>
      <c r="H88" s="16"/>
      <c r="J88" s="45"/>
      <c r="K88" s="6" t="s">
        <v>205</v>
      </c>
      <c r="L88" s="7" t="s">
        <v>3</v>
      </c>
      <c r="M88" s="52">
        <v>140.88595238095201</v>
      </c>
      <c r="N88" s="62">
        <v>10.35</v>
      </c>
      <c r="O88" s="4">
        <v>0</v>
      </c>
      <c r="P88" s="11">
        <f t="shared" si="3"/>
        <v>9.9</v>
      </c>
      <c r="Q88" s="59">
        <v>9</v>
      </c>
      <c r="R88" s="66">
        <f t="shared" si="4"/>
        <v>13.612169312169277</v>
      </c>
    </row>
    <row r="89" spans="6:18" x14ac:dyDescent="0.35">
      <c r="F89" s="16"/>
      <c r="G89" s="16"/>
      <c r="H89" s="16"/>
      <c r="J89" s="45"/>
      <c r="K89" s="6" t="s">
        <v>206</v>
      </c>
      <c r="L89" s="7" t="s">
        <v>3</v>
      </c>
      <c r="M89" s="52">
        <v>139.074166666667</v>
      </c>
      <c r="N89" s="62">
        <v>2.2999999999999998</v>
      </c>
      <c r="O89" s="4">
        <v>0</v>
      </c>
      <c r="P89" s="11">
        <f t="shared" si="3"/>
        <v>2.2000000000000002</v>
      </c>
      <c r="Q89" s="59">
        <v>2</v>
      </c>
      <c r="R89" s="66">
        <f t="shared" si="4"/>
        <v>60.467028985507397</v>
      </c>
    </row>
    <row r="90" spans="6:18" x14ac:dyDescent="0.35">
      <c r="F90" s="16"/>
      <c r="G90" s="16"/>
      <c r="H90" s="16"/>
      <c r="J90" s="45"/>
      <c r="K90" s="6" t="s">
        <v>207</v>
      </c>
      <c r="L90" s="7" t="s">
        <v>3</v>
      </c>
      <c r="M90" s="52">
        <v>127.943095238095</v>
      </c>
      <c r="N90" s="62">
        <v>4.5999999999999996</v>
      </c>
      <c r="O90" s="4">
        <v>0</v>
      </c>
      <c r="P90" s="11">
        <f t="shared" si="3"/>
        <v>4.4000000000000004</v>
      </c>
      <c r="Q90" s="59">
        <v>4</v>
      </c>
      <c r="R90" s="66">
        <f t="shared" si="4"/>
        <v>27.813716356107609</v>
      </c>
    </row>
    <row r="91" spans="6:18" x14ac:dyDescent="0.35">
      <c r="F91" s="16"/>
      <c r="G91" s="16"/>
      <c r="H91" s="16"/>
      <c r="J91" s="45"/>
      <c r="K91" s="6" t="s">
        <v>87</v>
      </c>
      <c r="L91" s="7" t="s">
        <v>3</v>
      </c>
      <c r="M91" s="52">
        <v>118.75297619047601</v>
      </c>
      <c r="N91" s="62">
        <v>1.1499999999999999</v>
      </c>
      <c r="O91" s="4">
        <v>0</v>
      </c>
      <c r="P91" s="11">
        <f t="shared" si="3"/>
        <v>1.1000000000000001</v>
      </c>
      <c r="Q91" s="59">
        <v>1</v>
      </c>
      <c r="R91" s="66">
        <f t="shared" si="4"/>
        <v>103.26345755693566</v>
      </c>
    </row>
    <row r="92" spans="6:18" x14ac:dyDescent="0.35">
      <c r="F92" s="16"/>
      <c r="G92" s="16"/>
      <c r="H92" s="16"/>
      <c r="J92" s="45"/>
      <c r="K92" s="6" t="s">
        <v>84</v>
      </c>
      <c r="L92" s="7" t="s">
        <v>3</v>
      </c>
      <c r="M92" s="52">
        <v>115.738452380952</v>
      </c>
      <c r="N92" s="62">
        <v>1.1499999999999999</v>
      </c>
      <c r="O92" s="4">
        <v>0</v>
      </c>
      <c r="P92" s="11">
        <f t="shared" si="3"/>
        <v>1.1000000000000001</v>
      </c>
      <c r="Q92" s="59">
        <v>1</v>
      </c>
      <c r="R92" s="66">
        <f t="shared" si="4"/>
        <v>100.64213250517565</v>
      </c>
    </row>
    <row r="93" spans="6:18" x14ac:dyDescent="0.35">
      <c r="F93" s="16"/>
      <c r="G93" s="16"/>
      <c r="H93" s="16"/>
      <c r="J93" s="45"/>
      <c r="K93" s="6" t="s">
        <v>208</v>
      </c>
      <c r="L93" s="7" t="s">
        <v>3</v>
      </c>
      <c r="M93" s="52">
        <v>113.149404761905</v>
      </c>
      <c r="N93" s="62">
        <v>1.1499999999999999</v>
      </c>
      <c r="O93" s="4">
        <v>0</v>
      </c>
      <c r="P93" s="11">
        <f t="shared" si="3"/>
        <v>1.1000000000000001</v>
      </c>
      <c r="Q93" s="59">
        <v>1</v>
      </c>
      <c r="R93" s="66">
        <f t="shared" si="4"/>
        <v>98.390786749482615</v>
      </c>
    </row>
    <row r="94" spans="6:18" x14ac:dyDescent="0.35">
      <c r="F94" s="16"/>
      <c r="G94" s="16"/>
      <c r="H94" s="16"/>
      <c r="J94" s="45"/>
      <c r="K94" s="6" t="s">
        <v>209</v>
      </c>
      <c r="L94" s="7" t="s">
        <v>3</v>
      </c>
      <c r="M94" s="52">
        <v>112.55380952381</v>
      </c>
      <c r="N94" s="62">
        <v>2.2999999999999998</v>
      </c>
      <c r="O94" s="4">
        <v>0</v>
      </c>
      <c r="P94" s="11">
        <f t="shared" si="3"/>
        <v>2.2000000000000002</v>
      </c>
      <c r="Q94" s="59">
        <v>2</v>
      </c>
      <c r="R94" s="66">
        <f t="shared" si="4"/>
        <v>48.936438923395656</v>
      </c>
    </row>
    <row r="95" spans="6:18" x14ac:dyDescent="0.35">
      <c r="F95" s="16"/>
      <c r="G95" s="16"/>
      <c r="H95" s="16"/>
      <c r="J95" s="45"/>
      <c r="K95" s="6" t="s">
        <v>210</v>
      </c>
      <c r="L95" s="7" t="s">
        <v>3</v>
      </c>
      <c r="M95" s="52">
        <v>108.45416666666701</v>
      </c>
      <c r="N95" s="62">
        <v>2.2999999999999998</v>
      </c>
      <c r="O95" s="4">
        <v>0</v>
      </c>
      <c r="P95" s="11">
        <f t="shared" si="3"/>
        <v>2.2000000000000002</v>
      </c>
      <c r="Q95" s="59">
        <v>2</v>
      </c>
      <c r="R95" s="66">
        <f t="shared" si="4"/>
        <v>47.153985507246531</v>
      </c>
    </row>
    <row r="96" spans="6:18" x14ac:dyDescent="0.35">
      <c r="F96" s="16"/>
      <c r="G96" s="16"/>
      <c r="H96" s="16"/>
      <c r="J96" s="45"/>
      <c r="K96" s="6" t="s">
        <v>89</v>
      </c>
      <c r="L96" s="7" t="s">
        <v>21</v>
      </c>
      <c r="M96" s="52">
        <v>293.69642857142901</v>
      </c>
      <c r="N96" s="62">
        <v>136.85</v>
      </c>
      <c r="O96" s="4">
        <v>0</v>
      </c>
      <c r="P96" s="11">
        <f t="shared" si="3"/>
        <v>130.9</v>
      </c>
      <c r="Q96" s="59">
        <v>119</v>
      </c>
      <c r="R96" s="66">
        <f t="shared" si="4"/>
        <v>2.1461193172921376</v>
      </c>
    </row>
    <row r="97" spans="6:18" x14ac:dyDescent="0.35">
      <c r="F97" s="16"/>
      <c r="G97" s="16"/>
      <c r="H97" s="16"/>
      <c r="J97" s="45"/>
      <c r="K97" s="6" t="s">
        <v>94</v>
      </c>
      <c r="L97" s="7" t="s">
        <v>21</v>
      </c>
      <c r="M97" s="52">
        <v>283.85809523809502</v>
      </c>
      <c r="N97" s="62">
        <v>132.25</v>
      </c>
      <c r="O97" s="4">
        <v>0</v>
      </c>
      <c r="P97" s="11">
        <f t="shared" si="3"/>
        <v>126.50000000000001</v>
      </c>
      <c r="Q97" s="59">
        <v>115</v>
      </c>
      <c r="R97" s="66">
        <f t="shared" si="4"/>
        <v>2.146375011252136</v>
      </c>
    </row>
    <row r="98" spans="6:18" x14ac:dyDescent="0.35">
      <c r="F98" s="16"/>
      <c r="G98" s="16"/>
      <c r="H98" s="16"/>
      <c r="J98" s="45"/>
      <c r="K98" s="6" t="s">
        <v>91</v>
      </c>
      <c r="L98" s="7" t="s">
        <v>21</v>
      </c>
      <c r="M98" s="52">
        <v>274.49880952381</v>
      </c>
      <c r="N98" s="62">
        <v>132.25</v>
      </c>
      <c r="O98" s="4">
        <v>0</v>
      </c>
      <c r="P98" s="11">
        <f t="shared" si="3"/>
        <v>126.50000000000001</v>
      </c>
      <c r="Q98" s="59">
        <v>115</v>
      </c>
      <c r="R98" s="66">
        <f t="shared" si="4"/>
        <v>2.0756053650193573</v>
      </c>
    </row>
    <row r="99" spans="6:18" x14ac:dyDescent="0.35">
      <c r="F99" s="16"/>
      <c r="G99" s="16"/>
      <c r="H99" s="16"/>
      <c r="J99" s="45"/>
      <c r="K99" s="6" t="s">
        <v>90</v>
      </c>
      <c r="L99" s="7" t="s">
        <v>21</v>
      </c>
      <c r="M99" s="52">
        <v>268.20654761904802</v>
      </c>
      <c r="N99" s="62">
        <v>114.99999999999999</v>
      </c>
      <c r="O99" s="4">
        <v>0</v>
      </c>
      <c r="P99" s="11">
        <f t="shared" si="3"/>
        <v>110.00000000000001</v>
      </c>
      <c r="Q99" s="59">
        <v>100</v>
      </c>
      <c r="R99" s="66">
        <f t="shared" si="4"/>
        <v>2.3322308488612875</v>
      </c>
    </row>
    <row r="100" spans="6:18" x14ac:dyDescent="0.35">
      <c r="F100" s="16"/>
      <c r="G100" s="16"/>
      <c r="H100" s="16"/>
      <c r="J100" s="45"/>
      <c r="K100" s="6" t="s">
        <v>108</v>
      </c>
      <c r="L100" s="7" t="s">
        <v>2</v>
      </c>
      <c r="M100" s="52">
        <v>266.80285714285702</v>
      </c>
      <c r="N100" s="62">
        <v>92</v>
      </c>
      <c r="O100" s="4">
        <v>0</v>
      </c>
      <c r="P100" s="11">
        <f t="shared" si="3"/>
        <v>88</v>
      </c>
      <c r="Q100" s="59">
        <v>80</v>
      </c>
      <c r="R100" s="66">
        <f t="shared" si="4"/>
        <v>2.9000310559006199</v>
      </c>
    </row>
    <row r="101" spans="6:18" x14ac:dyDescent="0.35">
      <c r="F101" s="16"/>
      <c r="G101" s="16"/>
      <c r="H101" s="16"/>
      <c r="J101" s="45"/>
      <c r="K101" s="6" t="s">
        <v>93</v>
      </c>
      <c r="L101" s="7" t="s">
        <v>2</v>
      </c>
      <c r="M101" s="52">
        <v>266.73255952380998</v>
      </c>
      <c r="N101" s="62">
        <v>96.6</v>
      </c>
      <c r="O101" s="4">
        <v>0</v>
      </c>
      <c r="P101" s="11">
        <f t="shared" si="3"/>
        <v>92.4</v>
      </c>
      <c r="Q101" s="59">
        <v>84</v>
      </c>
      <c r="R101" s="66">
        <f t="shared" si="4"/>
        <v>2.761206620329296</v>
      </c>
    </row>
    <row r="102" spans="6:18" x14ac:dyDescent="0.35">
      <c r="F102" s="16"/>
      <c r="G102" s="16"/>
      <c r="H102" s="16"/>
      <c r="J102" s="45"/>
      <c r="K102" s="6" t="s">
        <v>92</v>
      </c>
      <c r="L102" s="7" t="s">
        <v>2</v>
      </c>
      <c r="M102" s="52">
        <v>262.01023809523798</v>
      </c>
      <c r="N102" s="62">
        <v>119.6</v>
      </c>
      <c r="O102" s="4">
        <v>0</v>
      </c>
      <c r="P102" s="11">
        <f t="shared" si="3"/>
        <v>114.4</v>
      </c>
      <c r="Q102" s="59">
        <v>104</v>
      </c>
      <c r="R102" s="66">
        <f t="shared" si="4"/>
        <v>2.19072105430801</v>
      </c>
    </row>
    <row r="103" spans="6:18" x14ac:dyDescent="0.35">
      <c r="F103" s="16"/>
      <c r="G103" s="16"/>
      <c r="H103" s="16"/>
      <c r="J103" s="45"/>
      <c r="K103" s="6" t="s">
        <v>109</v>
      </c>
      <c r="L103" s="7" t="s">
        <v>2</v>
      </c>
      <c r="M103" s="52">
        <v>243.73</v>
      </c>
      <c r="N103" s="62">
        <v>82.8</v>
      </c>
      <c r="O103" s="4">
        <v>0</v>
      </c>
      <c r="P103" s="11">
        <f t="shared" si="3"/>
        <v>79.2</v>
      </c>
      <c r="Q103" s="59">
        <v>72</v>
      </c>
      <c r="R103" s="66">
        <f t="shared" si="4"/>
        <v>2.9435990338164251</v>
      </c>
    </row>
    <row r="104" spans="6:18" x14ac:dyDescent="0.35">
      <c r="F104" s="16"/>
      <c r="G104" s="16"/>
      <c r="H104" s="16"/>
      <c r="J104" s="45"/>
      <c r="K104" s="6" t="s">
        <v>126</v>
      </c>
      <c r="L104" s="7" t="s">
        <v>2</v>
      </c>
      <c r="M104" s="52">
        <v>241.25017857142899</v>
      </c>
      <c r="N104" s="62">
        <v>82.8</v>
      </c>
      <c r="O104" s="4">
        <v>0</v>
      </c>
      <c r="P104" s="11">
        <f t="shared" si="3"/>
        <v>79.2</v>
      </c>
      <c r="Q104" s="59">
        <v>72</v>
      </c>
      <c r="R104" s="66">
        <f t="shared" si="4"/>
        <v>2.9136494996549396</v>
      </c>
    </row>
    <row r="105" spans="6:18" x14ac:dyDescent="0.35">
      <c r="F105" s="16"/>
      <c r="G105" s="16"/>
      <c r="H105" s="16"/>
      <c r="J105" s="45"/>
      <c r="K105" s="6" t="s">
        <v>96</v>
      </c>
      <c r="L105" s="7" t="s">
        <v>2</v>
      </c>
      <c r="M105" s="52">
        <v>238.35374999999999</v>
      </c>
      <c r="N105" s="62">
        <v>75.899999999999991</v>
      </c>
      <c r="O105" s="4">
        <v>0</v>
      </c>
      <c r="P105" s="11">
        <f t="shared" si="3"/>
        <v>72.600000000000009</v>
      </c>
      <c r="Q105" s="59">
        <v>66</v>
      </c>
      <c r="R105" s="66">
        <f t="shared" si="4"/>
        <v>3.1403656126482216</v>
      </c>
    </row>
    <row r="106" spans="6:18" x14ac:dyDescent="0.35">
      <c r="F106" s="16"/>
      <c r="G106" s="16"/>
      <c r="H106" s="16"/>
      <c r="J106" s="45">
        <v>10</v>
      </c>
      <c r="K106" s="6" t="s">
        <v>95</v>
      </c>
      <c r="L106" s="7" t="s">
        <v>2</v>
      </c>
      <c r="M106" s="52">
        <v>234.854166666667</v>
      </c>
      <c r="N106" s="62">
        <v>56.349999999999994</v>
      </c>
      <c r="O106" s="4">
        <v>0</v>
      </c>
      <c r="P106" s="11">
        <f t="shared" si="3"/>
        <v>53.900000000000006</v>
      </c>
      <c r="Q106" s="59">
        <v>49</v>
      </c>
      <c r="R106" s="66">
        <f t="shared" si="4"/>
        <v>4.1677758059745704</v>
      </c>
    </row>
    <row r="107" spans="6:18" x14ac:dyDescent="0.35">
      <c r="F107" s="16"/>
      <c r="G107" s="16"/>
      <c r="H107" s="16"/>
      <c r="J107" s="45"/>
      <c r="K107" s="6" t="s">
        <v>98</v>
      </c>
      <c r="L107" s="7" t="s">
        <v>2</v>
      </c>
      <c r="M107" s="52">
        <v>229.826607142857</v>
      </c>
      <c r="N107" s="62">
        <v>57.499999999999993</v>
      </c>
      <c r="O107" s="4">
        <v>0</v>
      </c>
      <c r="P107" s="11">
        <f t="shared" si="3"/>
        <v>55.000000000000007</v>
      </c>
      <c r="Q107" s="59">
        <v>50</v>
      </c>
      <c r="R107" s="66">
        <f t="shared" si="4"/>
        <v>3.9969844720496877</v>
      </c>
    </row>
    <row r="108" spans="6:18" x14ac:dyDescent="0.35">
      <c r="F108" s="16"/>
      <c r="G108" s="16"/>
      <c r="H108" s="16"/>
      <c r="J108" s="45"/>
      <c r="K108" s="6" t="s">
        <v>97</v>
      </c>
      <c r="L108" s="7" t="s">
        <v>2</v>
      </c>
      <c r="M108" s="52">
        <v>223.59869047619</v>
      </c>
      <c r="N108" s="62">
        <v>62.099999999999994</v>
      </c>
      <c r="O108" s="4">
        <v>0</v>
      </c>
      <c r="P108" s="11">
        <f t="shared" si="3"/>
        <v>59.400000000000006</v>
      </c>
      <c r="Q108" s="59">
        <v>54</v>
      </c>
      <c r="R108" s="66">
        <f t="shared" si="4"/>
        <v>3.6006230350433177</v>
      </c>
    </row>
    <row r="109" spans="6:18" x14ac:dyDescent="0.35">
      <c r="F109" s="16"/>
      <c r="G109" s="16"/>
      <c r="H109" s="16"/>
      <c r="J109" s="45"/>
      <c r="K109" s="6" t="s">
        <v>100</v>
      </c>
      <c r="L109" s="7" t="s">
        <v>2</v>
      </c>
      <c r="M109" s="52">
        <v>221.76678571428599</v>
      </c>
      <c r="N109" s="62">
        <v>69</v>
      </c>
      <c r="O109" s="4">
        <v>0</v>
      </c>
      <c r="P109" s="11">
        <f t="shared" si="3"/>
        <v>66</v>
      </c>
      <c r="Q109" s="59">
        <v>60</v>
      </c>
      <c r="R109" s="66">
        <f t="shared" si="4"/>
        <v>3.2140113871635649</v>
      </c>
    </row>
    <row r="110" spans="6:18" x14ac:dyDescent="0.35">
      <c r="F110" s="16"/>
      <c r="G110" s="16"/>
      <c r="H110" s="16"/>
      <c r="J110" s="45"/>
      <c r="K110" s="6" t="s">
        <v>99</v>
      </c>
      <c r="L110" s="7" t="s">
        <v>2</v>
      </c>
      <c r="M110" s="52">
        <v>220.39047619047599</v>
      </c>
      <c r="N110" s="62">
        <v>80.5</v>
      </c>
      <c r="O110" s="4">
        <v>0</v>
      </c>
      <c r="P110" s="11">
        <f t="shared" si="3"/>
        <v>77</v>
      </c>
      <c r="Q110" s="59">
        <v>70</v>
      </c>
      <c r="R110" s="66">
        <f t="shared" si="4"/>
        <v>2.7377698905649193</v>
      </c>
    </row>
    <row r="111" spans="6:18" x14ac:dyDescent="0.35">
      <c r="F111" s="16"/>
      <c r="G111" s="16"/>
      <c r="H111" s="16"/>
      <c r="J111" s="45"/>
      <c r="K111" s="6" t="s">
        <v>105</v>
      </c>
      <c r="L111" s="7" t="s">
        <v>2</v>
      </c>
      <c r="M111" s="52">
        <v>216.28535714285701</v>
      </c>
      <c r="N111" s="62">
        <v>54.05</v>
      </c>
      <c r="O111" s="4">
        <v>0</v>
      </c>
      <c r="P111" s="11">
        <f t="shared" si="3"/>
        <v>51.7</v>
      </c>
      <c r="Q111" s="59">
        <v>47</v>
      </c>
      <c r="R111" s="66">
        <f t="shared" si="4"/>
        <v>4.0015792255847735</v>
      </c>
    </row>
    <row r="112" spans="6:18" x14ac:dyDescent="0.35">
      <c r="F112" s="16"/>
      <c r="G112" s="16"/>
      <c r="H112" s="16"/>
      <c r="J112" s="45">
        <v>10</v>
      </c>
      <c r="K112" s="6" t="s">
        <v>211</v>
      </c>
      <c r="L112" s="7" t="s">
        <v>2</v>
      </c>
      <c r="M112" s="52">
        <v>215.85809523809499</v>
      </c>
      <c r="N112" s="62">
        <v>50.599999999999994</v>
      </c>
      <c r="O112" s="4">
        <v>0</v>
      </c>
      <c r="P112" s="11">
        <f t="shared" si="3"/>
        <v>48.400000000000006</v>
      </c>
      <c r="Q112" s="59">
        <v>44</v>
      </c>
      <c r="R112" s="66">
        <f t="shared" si="4"/>
        <v>4.2659702616224315</v>
      </c>
    </row>
    <row r="113" spans="6:18" x14ac:dyDescent="0.35">
      <c r="F113" s="16"/>
      <c r="G113" s="16"/>
      <c r="H113" s="16"/>
      <c r="J113" s="45"/>
      <c r="K113" s="6" t="s">
        <v>212</v>
      </c>
      <c r="L113" s="7" t="s">
        <v>2</v>
      </c>
      <c r="M113" s="52">
        <v>215.13142857142901</v>
      </c>
      <c r="N113" s="62">
        <v>80.5</v>
      </c>
      <c r="O113" s="4">
        <v>0</v>
      </c>
      <c r="P113" s="11">
        <f t="shared" si="3"/>
        <v>77</v>
      </c>
      <c r="Q113" s="59">
        <v>70</v>
      </c>
      <c r="R113" s="66">
        <f t="shared" si="4"/>
        <v>2.6724401064773788</v>
      </c>
    </row>
    <row r="114" spans="6:18" x14ac:dyDescent="0.35">
      <c r="F114" s="16"/>
      <c r="G114" s="16"/>
      <c r="H114" s="16"/>
      <c r="J114" s="45"/>
      <c r="K114" s="6" t="s">
        <v>213</v>
      </c>
      <c r="L114" s="7" t="s">
        <v>2</v>
      </c>
      <c r="M114" s="52">
        <v>212.28690476190499</v>
      </c>
      <c r="N114" s="62">
        <v>54.05</v>
      </c>
      <c r="O114" s="4">
        <v>0</v>
      </c>
      <c r="P114" s="11">
        <f t="shared" si="3"/>
        <v>51.7</v>
      </c>
      <c r="Q114" s="59">
        <v>47</v>
      </c>
      <c r="R114" s="66">
        <f t="shared" si="4"/>
        <v>3.9276023082683627</v>
      </c>
    </row>
    <row r="115" spans="6:18" x14ac:dyDescent="0.35">
      <c r="F115" s="16"/>
      <c r="G115" s="16"/>
      <c r="H115" s="16"/>
      <c r="J115" s="45"/>
      <c r="K115" s="6" t="s">
        <v>129</v>
      </c>
      <c r="L115" s="7" t="s">
        <v>2</v>
      </c>
      <c r="M115" s="52">
        <v>209.27589285714299</v>
      </c>
      <c r="N115" s="62">
        <v>50.599999999999994</v>
      </c>
      <c r="O115" s="4">
        <v>0</v>
      </c>
      <c r="P115" s="11">
        <f t="shared" si="3"/>
        <v>48.400000000000006</v>
      </c>
      <c r="Q115" s="59">
        <v>44</v>
      </c>
      <c r="R115" s="66">
        <f t="shared" si="4"/>
        <v>4.1358872106154747</v>
      </c>
    </row>
    <row r="116" spans="6:18" x14ac:dyDescent="0.35">
      <c r="F116" s="16"/>
      <c r="G116" s="16"/>
      <c r="H116" s="16"/>
      <c r="J116" s="45">
        <v>10</v>
      </c>
      <c r="K116" s="6" t="s">
        <v>214</v>
      </c>
      <c r="L116" s="7" t="s">
        <v>2</v>
      </c>
      <c r="M116" s="52">
        <v>209.19839285714301</v>
      </c>
      <c r="N116" s="62">
        <v>29.9</v>
      </c>
      <c r="O116" s="4">
        <v>0</v>
      </c>
      <c r="P116" s="11">
        <f t="shared" si="3"/>
        <v>28.6</v>
      </c>
      <c r="Q116" s="59">
        <v>26</v>
      </c>
      <c r="R116" s="66">
        <f t="shared" si="4"/>
        <v>6.9966017677974257</v>
      </c>
    </row>
    <row r="117" spans="6:18" x14ac:dyDescent="0.35">
      <c r="F117" s="16"/>
      <c r="G117" s="16"/>
      <c r="H117" s="16"/>
      <c r="J117" s="45"/>
      <c r="K117" s="6" t="s">
        <v>121</v>
      </c>
      <c r="L117" s="7" t="s">
        <v>2</v>
      </c>
      <c r="M117" s="52">
        <v>208.28571428571399</v>
      </c>
      <c r="N117" s="62">
        <v>48.3</v>
      </c>
      <c r="O117" s="4">
        <v>0</v>
      </c>
      <c r="P117" s="11">
        <f t="shared" si="3"/>
        <v>46.2</v>
      </c>
      <c r="Q117" s="59">
        <v>42</v>
      </c>
      <c r="R117" s="66">
        <f t="shared" si="4"/>
        <v>4.3123336291038097</v>
      </c>
    </row>
    <row r="118" spans="6:18" x14ac:dyDescent="0.35">
      <c r="F118" s="16"/>
      <c r="G118" s="16"/>
      <c r="H118" s="16"/>
      <c r="J118" s="45">
        <v>10</v>
      </c>
      <c r="K118" s="6" t="s">
        <v>124</v>
      </c>
      <c r="L118" s="7" t="s">
        <v>2</v>
      </c>
      <c r="M118" s="52">
        <v>206.255535714286</v>
      </c>
      <c r="N118" s="62">
        <v>25.299999999999997</v>
      </c>
      <c r="O118" s="4">
        <v>0</v>
      </c>
      <c r="P118" s="11">
        <f t="shared" si="3"/>
        <v>24.200000000000003</v>
      </c>
      <c r="Q118" s="59">
        <v>22</v>
      </c>
      <c r="R118" s="66">
        <f t="shared" si="4"/>
        <v>8.1523927159796852</v>
      </c>
    </row>
    <row r="119" spans="6:18" x14ac:dyDescent="0.35">
      <c r="F119" s="16"/>
      <c r="G119" s="16"/>
      <c r="H119" s="16"/>
      <c r="J119" s="45"/>
      <c r="K119" s="6" t="s">
        <v>102</v>
      </c>
      <c r="L119" s="7" t="s">
        <v>2</v>
      </c>
      <c r="M119" s="52">
        <v>201.463214285714</v>
      </c>
      <c r="N119" s="62">
        <v>25.299999999999997</v>
      </c>
      <c r="O119" s="4">
        <v>1</v>
      </c>
      <c r="P119" s="11">
        <f t="shared" si="3"/>
        <v>24.200000000000003</v>
      </c>
      <c r="Q119" s="59">
        <v>22</v>
      </c>
      <c r="R119" s="66">
        <f t="shared" si="4"/>
        <v>7.9629728966685382</v>
      </c>
    </row>
    <row r="120" spans="6:18" x14ac:dyDescent="0.35">
      <c r="F120" s="16"/>
      <c r="G120" s="16"/>
      <c r="H120" s="16"/>
      <c r="J120" s="45"/>
      <c r="K120" s="6" t="s">
        <v>122</v>
      </c>
      <c r="L120" s="7" t="s">
        <v>2</v>
      </c>
      <c r="M120" s="52">
        <v>198.13898809523801</v>
      </c>
      <c r="N120" s="62">
        <v>14.95</v>
      </c>
      <c r="O120" s="4">
        <v>1</v>
      </c>
      <c r="P120" s="11">
        <f t="shared" si="3"/>
        <v>14.3</v>
      </c>
      <c r="Q120" s="59">
        <v>13</v>
      </c>
      <c r="R120" s="66">
        <f t="shared" si="4"/>
        <v>13.253444019748363</v>
      </c>
    </row>
    <row r="121" spans="6:18" x14ac:dyDescent="0.35">
      <c r="F121" s="16"/>
      <c r="G121" s="16"/>
      <c r="H121" s="16"/>
      <c r="J121" s="45"/>
      <c r="K121" s="6" t="s">
        <v>112</v>
      </c>
      <c r="L121" s="7" t="s">
        <v>2</v>
      </c>
      <c r="M121" s="52">
        <v>194.41523809523801</v>
      </c>
      <c r="N121" s="62">
        <v>29.9</v>
      </c>
      <c r="O121" s="4">
        <v>0</v>
      </c>
      <c r="P121" s="11">
        <f t="shared" si="3"/>
        <v>28.6</v>
      </c>
      <c r="Q121" s="59">
        <v>26</v>
      </c>
      <c r="R121" s="66">
        <f t="shared" si="4"/>
        <v>6.5021818760949168</v>
      </c>
    </row>
    <row r="122" spans="6:18" x14ac:dyDescent="0.35">
      <c r="F122" s="16"/>
      <c r="G122" s="16"/>
      <c r="H122" s="16"/>
      <c r="J122" s="45"/>
      <c r="K122" s="6" t="s">
        <v>117</v>
      </c>
      <c r="L122" s="7" t="s">
        <v>2</v>
      </c>
      <c r="M122" s="52">
        <v>192.78577380952399</v>
      </c>
      <c r="N122" s="62">
        <v>33.349999999999994</v>
      </c>
      <c r="O122" s="4">
        <v>0</v>
      </c>
      <c r="P122" s="11">
        <f t="shared" si="3"/>
        <v>31.900000000000002</v>
      </c>
      <c r="Q122" s="59">
        <v>29</v>
      </c>
      <c r="R122" s="66">
        <f t="shared" si="4"/>
        <v>5.7806828728492956</v>
      </c>
    </row>
    <row r="123" spans="6:18" x14ac:dyDescent="0.35">
      <c r="F123" s="16"/>
      <c r="G123" s="16"/>
      <c r="H123" s="16"/>
      <c r="J123" s="45"/>
      <c r="K123" s="6" t="s">
        <v>110</v>
      </c>
      <c r="L123" s="7" t="s">
        <v>2</v>
      </c>
      <c r="M123" s="52">
        <v>190.13505952381001</v>
      </c>
      <c r="N123" s="62">
        <v>37.949999999999996</v>
      </c>
      <c r="O123" s="4">
        <v>0</v>
      </c>
      <c r="P123" s="11">
        <f t="shared" si="3"/>
        <v>36.300000000000004</v>
      </c>
      <c r="Q123" s="59">
        <v>33</v>
      </c>
      <c r="R123" s="66">
        <f t="shared" si="4"/>
        <v>5.0101464960160751</v>
      </c>
    </row>
    <row r="124" spans="6:18" x14ac:dyDescent="0.35">
      <c r="F124" s="16"/>
      <c r="G124" s="16"/>
      <c r="H124" s="16"/>
      <c r="J124" s="45"/>
      <c r="K124" s="6" t="s">
        <v>116</v>
      </c>
      <c r="L124" s="7" t="s">
        <v>2</v>
      </c>
      <c r="M124" s="52">
        <v>187.400119047619</v>
      </c>
      <c r="N124" s="62">
        <v>46</v>
      </c>
      <c r="O124" s="4">
        <v>0</v>
      </c>
      <c r="P124" s="11">
        <f t="shared" si="3"/>
        <v>44</v>
      </c>
      <c r="Q124" s="59">
        <v>40</v>
      </c>
      <c r="R124" s="66">
        <f t="shared" si="4"/>
        <v>4.073915631469978</v>
      </c>
    </row>
    <row r="125" spans="6:18" x14ac:dyDescent="0.35">
      <c r="F125" s="16"/>
      <c r="G125" s="16"/>
      <c r="H125" s="16"/>
      <c r="J125" s="45"/>
      <c r="K125" s="6" t="s">
        <v>123</v>
      </c>
      <c r="L125" s="7" t="s">
        <v>2</v>
      </c>
      <c r="M125" s="52">
        <v>186.018988095238</v>
      </c>
      <c r="N125" s="62">
        <v>20.7</v>
      </c>
      <c r="O125" s="4">
        <v>0</v>
      </c>
      <c r="P125" s="11">
        <f t="shared" si="3"/>
        <v>19.8</v>
      </c>
      <c r="Q125" s="59">
        <v>18</v>
      </c>
      <c r="R125" s="66">
        <f t="shared" si="4"/>
        <v>8.986424545663672</v>
      </c>
    </row>
    <row r="126" spans="6:18" x14ac:dyDescent="0.35">
      <c r="F126" s="16"/>
      <c r="G126" s="16"/>
      <c r="H126" s="16"/>
      <c r="J126" s="45"/>
      <c r="K126" s="6" t="s">
        <v>101</v>
      </c>
      <c r="L126" s="7" t="s">
        <v>2</v>
      </c>
      <c r="M126" s="52">
        <v>185.586904761905</v>
      </c>
      <c r="N126" s="62">
        <v>19.549999999999997</v>
      </c>
      <c r="O126" s="4">
        <v>0</v>
      </c>
      <c r="P126" s="11">
        <f t="shared" si="3"/>
        <v>18.700000000000003</v>
      </c>
      <c r="Q126" s="59">
        <v>17</v>
      </c>
      <c r="R126" s="66">
        <f t="shared" si="4"/>
        <v>9.4929363049567783</v>
      </c>
    </row>
    <row r="127" spans="6:18" x14ac:dyDescent="0.35">
      <c r="F127" s="16"/>
      <c r="G127" s="16"/>
      <c r="H127" s="16"/>
      <c r="J127" s="45"/>
      <c r="K127" s="6" t="s">
        <v>215</v>
      </c>
      <c r="L127" s="7" t="s">
        <v>2</v>
      </c>
      <c r="M127" s="52">
        <v>184.20559523809499</v>
      </c>
      <c r="N127" s="62">
        <v>33.349999999999994</v>
      </c>
      <c r="O127" s="4">
        <v>0</v>
      </c>
      <c r="P127" s="11">
        <f t="shared" si="3"/>
        <v>31.900000000000002</v>
      </c>
      <c r="Q127" s="59">
        <v>29</v>
      </c>
      <c r="R127" s="66">
        <f t="shared" si="4"/>
        <v>5.5234061540658175</v>
      </c>
    </row>
    <row r="128" spans="6:18" x14ac:dyDescent="0.35">
      <c r="F128" s="16"/>
      <c r="G128" s="16"/>
      <c r="H128" s="16"/>
      <c r="J128" s="45">
        <v>10</v>
      </c>
      <c r="K128" s="6" t="s">
        <v>103</v>
      </c>
      <c r="L128" s="7" t="s">
        <v>2</v>
      </c>
      <c r="M128" s="52">
        <v>183.331547619048</v>
      </c>
      <c r="N128" s="62">
        <v>48.3</v>
      </c>
      <c r="O128" s="4">
        <v>0</v>
      </c>
      <c r="P128" s="11">
        <f t="shared" si="3"/>
        <v>46.2</v>
      </c>
      <c r="Q128" s="59">
        <v>42</v>
      </c>
      <c r="R128" s="66">
        <f t="shared" si="4"/>
        <v>3.7956842157152795</v>
      </c>
    </row>
    <row r="129" spans="6:18" x14ac:dyDescent="0.35">
      <c r="F129" s="16"/>
      <c r="G129" s="16"/>
      <c r="H129" s="16"/>
      <c r="J129" s="45">
        <v>10</v>
      </c>
      <c r="K129" s="6" t="s">
        <v>107</v>
      </c>
      <c r="L129" s="7" t="s">
        <v>2</v>
      </c>
      <c r="M129" s="52">
        <v>180.817976190476</v>
      </c>
      <c r="N129" s="62">
        <v>25.299999999999997</v>
      </c>
      <c r="O129" s="4">
        <v>0</v>
      </c>
      <c r="P129" s="11">
        <f t="shared" si="3"/>
        <v>24.200000000000003</v>
      </c>
      <c r="Q129" s="59">
        <v>22</v>
      </c>
      <c r="R129" s="66">
        <f t="shared" si="4"/>
        <v>7.1469555806512259</v>
      </c>
    </row>
    <row r="130" spans="6:18" x14ac:dyDescent="0.35">
      <c r="F130" s="16"/>
      <c r="G130" s="16"/>
      <c r="H130" s="16"/>
      <c r="J130" s="45"/>
      <c r="K130" s="6" t="s">
        <v>216</v>
      </c>
      <c r="L130" s="7" t="s">
        <v>2</v>
      </c>
      <c r="M130" s="52">
        <v>173.090714285714</v>
      </c>
      <c r="N130" s="62">
        <v>33.349999999999994</v>
      </c>
      <c r="O130" s="4">
        <v>0</v>
      </c>
      <c r="P130" s="11">
        <f t="shared" si="3"/>
        <v>31.900000000000002</v>
      </c>
      <c r="Q130" s="59">
        <v>29</v>
      </c>
      <c r="R130" s="66">
        <f t="shared" si="4"/>
        <v>5.1901263653887266</v>
      </c>
    </row>
    <row r="131" spans="6:18" x14ac:dyDescent="0.35">
      <c r="F131" s="16"/>
      <c r="G131" s="16"/>
      <c r="H131" s="16"/>
      <c r="J131" s="45"/>
      <c r="K131" s="6" t="s">
        <v>217</v>
      </c>
      <c r="L131" s="7" t="s">
        <v>2</v>
      </c>
      <c r="M131" s="52">
        <v>170.31238095238101</v>
      </c>
      <c r="N131" s="62">
        <v>14.95</v>
      </c>
      <c r="O131" s="4">
        <v>0</v>
      </c>
      <c r="P131" s="11">
        <f t="shared" ref="P131:P194" si="5">Q131*1.1</f>
        <v>14.3</v>
      </c>
      <c r="Q131" s="59">
        <v>13</v>
      </c>
      <c r="R131" s="66">
        <f t="shared" ref="R131:R194" si="6">M131/N131</f>
        <v>11.392132505175988</v>
      </c>
    </row>
    <row r="132" spans="6:18" x14ac:dyDescent="0.35">
      <c r="F132" s="16"/>
      <c r="G132" s="16"/>
      <c r="H132" s="16"/>
      <c r="J132" s="45"/>
      <c r="K132" s="6" t="s">
        <v>104</v>
      </c>
      <c r="L132" s="7" t="s">
        <v>2</v>
      </c>
      <c r="M132" s="52">
        <v>164.720595238095</v>
      </c>
      <c r="N132" s="62">
        <v>12.649999999999999</v>
      </c>
      <c r="O132" s="4">
        <v>0</v>
      </c>
      <c r="P132" s="11">
        <f t="shared" si="5"/>
        <v>12.100000000000001</v>
      </c>
      <c r="Q132" s="59">
        <v>11</v>
      </c>
      <c r="R132" s="66">
        <f t="shared" si="6"/>
        <v>13.02139092791265</v>
      </c>
    </row>
    <row r="133" spans="6:18" x14ac:dyDescent="0.35">
      <c r="F133" s="16"/>
      <c r="G133" s="16"/>
      <c r="H133" s="16"/>
      <c r="J133" s="45"/>
      <c r="K133" s="6" t="s">
        <v>127</v>
      </c>
      <c r="L133" s="7" t="s">
        <v>2</v>
      </c>
      <c r="M133" s="52">
        <v>160.94571428571399</v>
      </c>
      <c r="N133" s="62">
        <v>14.95</v>
      </c>
      <c r="O133" s="4">
        <v>0</v>
      </c>
      <c r="P133" s="11">
        <f t="shared" si="5"/>
        <v>14.3</v>
      </c>
      <c r="Q133" s="59">
        <v>13</v>
      </c>
      <c r="R133" s="66">
        <f t="shared" si="6"/>
        <v>10.765599617773512</v>
      </c>
    </row>
    <row r="134" spans="6:18" x14ac:dyDescent="0.35">
      <c r="F134" s="16"/>
      <c r="G134" s="16"/>
      <c r="H134" s="16"/>
      <c r="J134" s="45"/>
      <c r="K134" s="6" t="s">
        <v>125</v>
      </c>
      <c r="L134" s="7" t="s">
        <v>2</v>
      </c>
      <c r="M134" s="52">
        <v>160.38428571428599</v>
      </c>
      <c r="N134" s="62">
        <v>2.2999999999999998</v>
      </c>
      <c r="O134" s="4">
        <v>0</v>
      </c>
      <c r="P134" s="11">
        <f t="shared" si="5"/>
        <v>2.2000000000000002</v>
      </c>
      <c r="Q134" s="59">
        <v>2</v>
      </c>
      <c r="R134" s="66">
        <f t="shared" si="6"/>
        <v>69.732298136646094</v>
      </c>
    </row>
    <row r="135" spans="6:18" x14ac:dyDescent="0.35">
      <c r="F135" s="16"/>
      <c r="G135" s="16"/>
      <c r="H135" s="16"/>
      <c r="J135" s="45"/>
      <c r="K135" s="6" t="s">
        <v>120</v>
      </c>
      <c r="L135" s="7" t="s">
        <v>2</v>
      </c>
      <c r="M135" s="52">
        <v>158.55047619047599</v>
      </c>
      <c r="N135" s="62">
        <v>12.649999999999999</v>
      </c>
      <c r="O135" s="4">
        <v>0</v>
      </c>
      <c r="P135" s="11">
        <f t="shared" si="5"/>
        <v>12.100000000000001</v>
      </c>
      <c r="Q135" s="59">
        <v>11</v>
      </c>
      <c r="R135" s="66">
        <f t="shared" si="6"/>
        <v>12.533634481460554</v>
      </c>
    </row>
    <row r="136" spans="6:18" x14ac:dyDescent="0.35">
      <c r="F136" s="16"/>
      <c r="G136" s="16"/>
      <c r="H136" s="16"/>
      <c r="J136" s="45"/>
      <c r="K136" s="6" t="s">
        <v>218</v>
      </c>
      <c r="L136" s="7" t="s">
        <v>2</v>
      </c>
      <c r="M136" s="52">
        <v>158.15523809523799</v>
      </c>
      <c r="N136" s="62">
        <v>12.649999999999999</v>
      </c>
      <c r="O136" s="4">
        <v>0</v>
      </c>
      <c r="P136" s="11">
        <f t="shared" si="5"/>
        <v>12.100000000000001</v>
      </c>
      <c r="Q136" s="59">
        <v>11</v>
      </c>
      <c r="R136" s="66">
        <f t="shared" si="6"/>
        <v>12.502390363259922</v>
      </c>
    </row>
    <row r="137" spans="6:18" x14ac:dyDescent="0.35">
      <c r="F137" s="16"/>
      <c r="G137" s="16"/>
      <c r="H137" s="16"/>
      <c r="J137" s="45"/>
      <c r="K137" s="6" t="s">
        <v>113</v>
      </c>
      <c r="L137" s="7" t="s">
        <v>2</v>
      </c>
      <c r="M137" s="52">
        <v>156.36005291005301</v>
      </c>
      <c r="N137" s="62">
        <v>14.95</v>
      </c>
      <c r="O137" s="4">
        <v>0</v>
      </c>
      <c r="P137" s="11">
        <f t="shared" si="5"/>
        <v>14.3</v>
      </c>
      <c r="Q137" s="59">
        <v>13</v>
      </c>
      <c r="R137" s="66">
        <f t="shared" si="6"/>
        <v>10.458866415388162</v>
      </c>
    </row>
    <row r="138" spans="6:18" x14ac:dyDescent="0.35">
      <c r="F138" s="16"/>
      <c r="G138" s="16"/>
      <c r="H138" s="16"/>
      <c r="J138" s="45"/>
      <c r="K138" s="6" t="s">
        <v>128</v>
      </c>
      <c r="L138" s="7" t="s">
        <v>2</v>
      </c>
      <c r="M138" s="52">
        <v>155.6575</v>
      </c>
      <c r="N138" s="62">
        <v>14.95</v>
      </c>
      <c r="O138" s="4">
        <v>0</v>
      </c>
      <c r="P138" s="11">
        <f t="shared" si="5"/>
        <v>14.3</v>
      </c>
      <c r="Q138" s="59">
        <v>13</v>
      </c>
      <c r="R138" s="66">
        <f t="shared" si="6"/>
        <v>10.411872909698998</v>
      </c>
    </row>
    <row r="139" spans="6:18" x14ac:dyDescent="0.35">
      <c r="F139" s="16"/>
      <c r="G139" s="16"/>
      <c r="H139" s="16"/>
      <c r="J139" s="45"/>
      <c r="K139" s="6" t="s">
        <v>119</v>
      </c>
      <c r="L139" s="7" t="s">
        <v>2</v>
      </c>
      <c r="M139" s="52">
        <v>149.88619047619</v>
      </c>
      <c r="N139" s="62">
        <v>2.2999999999999998</v>
      </c>
      <c r="O139" s="4">
        <v>0</v>
      </c>
      <c r="P139" s="11">
        <f t="shared" si="5"/>
        <v>2.2000000000000002</v>
      </c>
      <c r="Q139" s="59">
        <v>2</v>
      </c>
      <c r="R139" s="66">
        <f t="shared" si="6"/>
        <v>65.167908902691309</v>
      </c>
    </row>
    <row r="140" spans="6:18" x14ac:dyDescent="0.35">
      <c r="F140" s="16"/>
      <c r="G140" s="16"/>
      <c r="H140" s="16"/>
      <c r="J140" s="45"/>
      <c r="K140" s="6" t="s">
        <v>219</v>
      </c>
      <c r="L140" s="7" t="s">
        <v>2</v>
      </c>
      <c r="M140" s="52">
        <v>148.344404761905</v>
      </c>
      <c r="N140" s="62">
        <v>14.95</v>
      </c>
      <c r="O140" s="4">
        <v>0</v>
      </c>
      <c r="P140" s="11">
        <f t="shared" si="5"/>
        <v>14.3</v>
      </c>
      <c r="Q140" s="59">
        <v>13</v>
      </c>
      <c r="R140" s="66">
        <f t="shared" si="6"/>
        <v>9.9227026596591976</v>
      </c>
    </row>
    <row r="141" spans="6:18" x14ac:dyDescent="0.35">
      <c r="F141" s="16"/>
      <c r="G141" s="16"/>
      <c r="H141" s="16"/>
      <c r="J141" s="45"/>
      <c r="K141" s="6" t="s">
        <v>220</v>
      </c>
      <c r="L141" s="7" t="s">
        <v>2</v>
      </c>
      <c r="M141" s="52">
        <v>148.04537037036999</v>
      </c>
      <c r="N141" s="62">
        <v>2.2999999999999998</v>
      </c>
      <c r="O141" s="4">
        <v>0</v>
      </c>
      <c r="P141" s="11">
        <f t="shared" si="5"/>
        <v>2.2000000000000002</v>
      </c>
      <c r="Q141" s="59">
        <v>2</v>
      </c>
      <c r="R141" s="66">
        <f t="shared" si="6"/>
        <v>64.367552334943483</v>
      </c>
    </row>
    <row r="142" spans="6:18" x14ac:dyDescent="0.35">
      <c r="F142" s="16"/>
      <c r="G142" s="16"/>
      <c r="H142" s="16"/>
      <c r="J142" s="45"/>
      <c r="K142" s="6" t="s">
        <v>221</v>
      </c>
      <c r="L142" s="7" t="s">
        <v>2</v>
      </c>
      <c r="M142" s="52">
        <v>146.82380952381001</v>
      </c>
      <c r="N142" s="62">
        <v>12.649999999999999</v>
      </c>
      <c r="O142" s="4">
        <v>0</v>
      </c>
      <c r="P142" s="11">
        <f t="shared" si="5"/>
        <v>12.100000000000001</v>
      </c>
      <c r="Q142" s="59">
        <v>11</v>
      </c>
      <c r="R142" s="66">
        <f t="shared" si="6"/>
        <v>11.606625258799212</v>
      </c>
    </row>
    <row r="143" spans="6:18" x14ac:dyDescent="0.35">
      <c r="F143" s="16"/>
      <c r="G143" s="16"/>
      <c r="H143" s="16"/>
      <c r="J143" s="45"/>
      <c r="K143" s="6" t="s">
        <v>222</v>
      </c>
      <c r="L143" s="7" t="s">
        <v>2</v>
      </c>
      <c r="M143" s="52">
        <v>146.15898809523799</v>
      </c>
      <c r="N143" s="62">
        <v>19.549999999999997</v>
      </c>
      <c r="O143" s="4">
        <v>0</v>
      </c>
      <c r="P143" s="11">
        <f t="shared" si="5"/>
        <v>18.700000000000003</v>
      </c>
      <c r="Q143" s="59">
        <v>17</v>
      </c>
      <c r="R143" s="66">
        <f t="shared" si="6"/>
        <v>7.4761630739252176</v>
      </c>
    </row>
    <row r="144" spans="6:18" x14ac:dyDescent="0.35">
      <c r="F144" s="16"/>
      <c r="G144" s="16"/>
      <c r="H144" s="16"/>
      <c r="J144" s="45"/>
      <c r="K144" s="6" t="s">
        <v>223</v>
      </c>
      <c r="L144" s="7" t="s">
        <v>2</v>
      </c>
      <c r="M144" s="52">
        <v>145.341785714286</v>
      </c>
      <c r="N144" s="62">
        <v>2.2999999999999998</v>
      </c>
      <c r="O144" s="4">
        <v>0</v>
      </c>
      <c r="P144" s="11">
        <f t="shared" si="5"/>
        <v>2.2000000000000002</v>
      </c>
      <c r="Q144" s="59">
        <v>2</v>
      </c>
      <c r="R144" s="66">
        <f t="shared" si="6"/>
        <v>63.192080745341748</v>
      </c>
    </row>
    <row r="145" spans="6:18" x14ac:dyDescent="0.35">
      <c r="F145" s="16"/>
      <c r="G145" s="16"/>
      <c r="H145" s="16"/>
      <c r="J145" s="45"/>
      <c r="K145" s="6" t="s">
        <v>224</v>
      </c>
      <c r="L145" s="7" t="s">
        <v>2</v>
      </c>
      <c r="M145" s="52">
        <v>144.637261904762</v>
      </c>
      <c r="N145" s="62">
        <v>2.2999999999999998</v>
      </c>
      <c r="O145" s="4">
        <v>0</v>
      </c>
      <c r="P145" s="11">
        <f t="shared" si="5"/>
        <v>2.2000000000000002</v>
      </c>
      <c r="Q145" s="59">
        <v>2</v>
      </c>
      <c r="R145" s="66">
        <f t="shared" si="6"/>
        <v>62.885766045548699</v>
      </c>
    </row>
    <row r="146" spans="6:18" x14ac:dyDescent="0.35">
      <c r="F146" s="16"/>
      <c r="G146" s="16"/>
      <c r="H146" s="16"/>
      <c r="J146" s="45"/>
      <c r="K146" s="6" t="s">
        <v>225</v>
      </c>
      <c r="L146" s="7" t="s">
        <v>2</v>
      </c>
      <c r="M146" s="52">
        <v>142.80744047619001</v>
      </c>
      <c r="N146" s="62">
        <v>12.649999999999999</v>
      </c>
      <c r="O146" s="4">
        <v>0</v>
      </c>
      <c r="P146" s="11">
        <f t="shared" si="5"/>
        <v>12.100000000000001</v>
      </c>
      <c r="Q146" s="59">
        <v>11</v>
      </c>
      <c r="R146" s="66">
        <f t="shared" si="6"/>
        <v>11.289125729343086</v>
      </c>
    </row>
    <row r="147" spans="6:18" x14ac:dyDescent="0.35">
      <c r="F147" s="16"/>
      <c r="G147" s="16"/>
      <c r="H147" s="16"/>
      <c r="J147" s="45"/>
      <c r="K147" s="6" t="s">
        <v>114</v>
      </c>
      <c r="L147" s="7" t="s">
        <v>2</v>
      </c>
      <c r="M147" s="52">
        <v>142.15845238095201</v>
      </c>
      <c r="N147" s="62">
        <v>2.2999999999999998</v>
      </c>
      <c r="O147" s="4">
        <v>0</v>
      </c>
      <c r="P147" s="11">
        <f t="shared" si="5"/>
        <v>2.2000000000000002</v>
      </c>
      <c r="Q147" s="59">
        <v>2</v>
      </c>
      <c r="R147" s="66">
        <f t="shared" si="6"/>
        <v>61.808022774326965</v>
      </c>
    </row>
    <row r="148" spans="6:18" x14ac:dyDescent="0.35">
      <c r="F148" s="16"/>
      <c r="G148" s="16"/>
      <c r="H148" s="16"/>
      <c r="J148" s="45"/>
      <c r="K148" s="6" t="s">
        <v>115</v>
      </c>
      <c r="L148" s="7" t="s">
        <v>2</v>
      </c>
      <c r="M148" s="52">
        <v>141.12964285714301</v>
      </c>
      <c r="N148" s="62">
        <v>2.2999999999999998</v>
      </c>
      <c r="O148" s="4">
        <v>0</v>
      </c>
      <c r="P148" s="11">
        <f t="shared" si="5"/>
        <v>2.2000000000000002</v>
      </c>
      <c r="Q148" s="59">
        <v>2</v>
      </c>
      <c r="R148" s="66">
        <f t="shared" si="6"/>
        <v>61.360714285714359</v>
      </c>
    </row>
    <row r="149" spans="6:18" x14ac:dyDescent="0.35">
      <c r="F149" s="16"/>
      <c r="G149" s="16"/>
      <c r="H149" s="16"/>
      <c r="J149" s="45"/>
      <c r="K149" s="6" t="s">
        <v>106</v>
      </c>
      <c r="L149" s="7" t="s">
        <v>2</v>
      </c>
      <c r="M149" s="52">
        <v>140.30494047619001</v>
      </c>
      <c r="N149" s="62">
        <v>2.2999999999999998</v>
      </c>
      <c r="O149" s="4">
        <v>0</v>
      </c>
      <c r="P149" s="11">
        <f t="shared" si="5"/>
        <v>2.2000000000000002</v>
      </c>
      <c r="Q149" s="59">
        <v>2</v>
      </c>
      <c r="R149" s="66">
        <f t="shared" si="6"/>
        <v>61.002148033126097</v>
      </c>
    </row>
    <row r="150" spans="6:18" x14ac:dyDescent="0.35">
      <c r="F150" s="16"/>
      <c r="G150" s="16"/>
      <c r="H150" s="16"/>
      <c r="J150" s="45"/>
      <c r="K150" s="6" t="s">
        <v>118</v>
      </c>
      <c r="L150" s="7" t="s">
        <v>2</v>
      </c>
      <c r="M150" s="52">
        <v>139.11875000000001</v>
      </c>
      <c r="N150" s="62">
        <v>2.2999999999999998</v>
      </c>
      <c r="O150" s="4">
        <v>0</v>
      </c>
      <c r="P150" s="11">
        <f t="shared" si="5"/>
        <v>2.2000000000000002</v>
      </c>
      <c r="Q150" s="59">
        <v>2</v>
      </c>
      <c r="R150" s="66">
        <f t="shared" si="6"/>
        <v>60.486413043478265</v>
      </c>
    </row>
    <row r="151" spans="6:18" x14ac:dyDescent="0.35">
      <c r="F151" s="16"/>
      <c r="G151" s="16"/>
      <c r="H151" s="16"/>
      <c r="J151" s="45"/>
      <c r="K151" s="6" t="s">
        <v>226</v>
      </c>
      <c r="L151" s="7" t="s">
        <v>2</v>
      </c>
      <c r="M151" s="52">
        <v>137.150238095238</v>
      </c>
      <c r="N151" s="62">
        <v>2.2999999999999998</v>
      </c>
      <c r="O151" s="4">
        <v>0</v>
      </c>
      <c r="P151" s="11">
        <f t="shared" si="5"/>
        <v>2.2000000000000002</v>
      </c>
      <c r="Q151" s="59">
        <v>2</v>
      </c>
      <c r="R151" s="66">
        <f t="shared" si="6"/>
        <v>59.630538302277394</v>
      </c>
    </row>
    <row r="152" spans="6:18" x14ac:dyDescent="0.35">
      <c r="F152" s="16"/>
      <c r="G152" s="16"/>
      <c r="H152" s="16"/>
      <c r="J152" s="45"/>
      <c r="K152" s="6" t="s">
        <v>111</v>
      </c>
      <c r="L152" s="7" t="s">
        <v>2</v>
      </c>
      <c r="M152" s="52">
        <v>135.768333333333</v>
      </c>
      <c r="N152" s="62">
        <v>4.5999999999999996</v>
      </c>
      <c r="O152" s="4">
        <v>0</v>
      </c>
      <c r="P152" s="11">
        <f t="shared" si="5"/>
        <v>4.4000000000000004</v>
      </c>
      <c r="Q152" s="59">
        <v>4</v>
      </c>
      <c r="R152" s="66">
        <f t="shared" si="6"/>
        <v>29.5148550724637</v>
      </c>
    </row>
    <row r="153" spans="6:18" x14ac:dyDescent="0.35">
      <c r="F153" s="16"/>
      <c r="G153" s="16"/>
      <c r="H153" s="16"/>
      <c r="J153" s="45"/>
      <c r="K153" s="6" t="s">
        <v>227</v>
      </c>
      <c r="L153" s="7" t="s">
        <v>2</v>
      </c>
      <c r="M153" s="52">
        <v>132.81660714285701</v>
      </c>
      <c r="N153" s="62">
        <v>2.2999999999999998</v>
      </c>
      <c r="O153" s="4">
        <v>0</v>
      </c>
      <c r="P153" s="11">
        <f t="shared" si="5"/>
        <v>2.2000000000000002</v>
      </c>
      <c r="Q153" s="59">
        <v>2</v>
      </c>
      <c r="R153" s="66">
        <f t="shared" si="6"/>
        <v>57.746350931676965</v>
      </c>
    </row>
    <row r="154" spans="6:18" x14ac:dyDescent="0.35">
      <c r="F154" s="16"/>
      <c r="G154" s="16"/>
      <c r="H154" s="16"/>
      <c r="J154" s="45"/>
      <c r="K154" s="6" t="s">
        <v>130</v>
      </c>
      <c r="L154" s="7" t="s">
        <v>4</v>
      </c>
      <c r="M154" s="52">
        <v>123</v>
      </c>
      <c r="N154" s="62">
        <v>2.2999999999999998</v>
      </c>
      <c r="O154" s="4">
        <v>0</v>
      </c>
      <c r="P154" s="11">
        <f t="shared" si="5"/>
        <v>2.2000000000000002</v>
      </c>
      <c r="Q154" s="59">
        <v>2</v>
      </c>
      <c r="R154" s="66">
        <f t="shared" si="6"/>
        <v>53.478260869565219</v>
      </c>
    </row>
    <row r="155" spans="6:18" x14ac:dyDescent="0.35">
      <c r="F155" s="16"/>
      <c r="G155" s="16"/>
      <c r="H155" s="16"/>
      <c r="J155" s="45"/>
      <c r="K155" s="6" t="s">
        <v>131</v>
      </c>
      <c r="L155" s="7" t="s">
        <v>4</v>
      </c>
      <c r="M155" s="52">
        <v>118</v>
      </c>
      <c r="N155" s="62">
        <v>1.7249999999999999</v>
      </c>
      <c r="O155" s="4">
        <v>0</v>
      </c>
      <c r="P155" s="11">
        <f t="shared" si="5"/>
        <v>1.6500000000000001</v>
      </c>
      <c r="Q155" s="59">
        <v>1.5</v>
      </c>
      <c r="R155" s="66">
        <f t="shared" si="6"/>
        <v>68.405797101449281</v>
      </c>
    </row>
    <row r="156" spans="6:18" x14ac:dyDescent="0.35">
      <c r="F156" s="16"/>
      <c r="G156" s="16"/>
      <c r="H156" s="16"/>
      <c r="J156" s="45"/>
      <c r="K156" s="6" t="s">
        <v>132</v>
      </c>
      <c r="L156" s="7" t="s">
        <v>4</v>
      </c>
      <c r="M156" s="52">
        <v>109</v>
      </c>
      <c r="N156" s="62">
        <v>2.2999999999999998</v>
      </c>
      <c r="O156" s="4">
        <v>0</v>
      </c>
      <c r="P156" s="11">
        <f t="shared" si="5"/>
        <v>2.2000000000000002</v>
      </c>
      <c r="Q156" s="59">
        <v>2</v>
      </c>
      <c r="R156" s="66">
        <f t="shared" si="6"/>
        <v>47.391304347826093</v>
      </c>
    </row>
    <row r="157" spans="6:18" x14ac:dyDescent="0.35">
      <c r="F157" s="16"/>
      <c r="G157" s="16"/>
      <c r="H157" s="16"/>
      <c r="J157" s="45"/>
      <c r="K157" s="6" t="s">
        <v>133</v>
      </c>
      <c r="L157" s="7" t="s">
        <v>4</v>
      </c>
      <c r="M157" s="52">
        <v>100</v>
      </c>
      <c r="N157" s="62">
        <v>1.7249999999999999</v>
      </c>
      <c r="O157" s="4">
        <v>0</v>
      </c>
      <c r="P157" s="11">
        <f t="shared" si="5"/>
        <v>1.6500000000000001</v>
      </c>
      <c r="Q157" s="59">
        <v>1.5</v>
      </c>
      <c r="R157" s="66">
        <f t="shared" si="6"/>
        <v>57.971014492753625</v>
      </c>
    </row>
    <row r="158" spans="6:18" x14ac:dyDescent="0.35">
      <c r="F158" s="16"/>
      <c r="G158" s="16"/>
      <c r="H158" s="16"/>
      <c r="J158" s="45"/>
      <c r="K158" s="6" t="s">
        <v>134</v>
      </c>
      <c r="L158" s="7" t="s">
        <v>4</v>
      </c>
      <c r="M158" s="52">
        <v>110</v>
      </c>
      <c r="N158" s="62">
        <v>1.7249999999999999</v>
      </c>
      <c r="O158" s="4">
        <v>0</v>
      </c>
      <c r="P158" s="11">
        <f t="shared" si="5"/>
        <v>1.6500000000000001</v>
      </c>
      <c r="Q158" s="59">
        <v>1.5</v>
      </c>
      <c r="R158" s="66">
        <f t="shared" si="6"/>
        <v>63.768115942028992</v>
      </c>
    </row>
    <row r="159" spans="6:18" x14ac:dyDescent="0.35">
      <c r="F159" s="16"/>
      <c r="G159" s="16"/>
      <c r="H159" s="16"/>
      <c r="J159" s="45"/>
      <c r="K159" s="6" t="s">
        <v>135</v>
      </c>
      <c r="L159" s="7" t="s">
        <v>4</v>
      </c>
      <c r="M159" s="52">
        <v>148</v>
      </c>
      <c r="N159" s="62">
        <v>2.875</v>
      </c>
      <c r="O159" s="4">
        <v>0</v>
      </c>
      <c r="P159" s="11">
        <f t="shared" si="5"/>
        <v>2.75</v>
      </c>
      <c r="Q159" s="59">
        <v>2.5</v>
      </c>
      <c r="R159" s="66">
        <f t="shared" si="6"/>
        <v>51.478260869565219</v>
      </c>
    </row>
    <row r="160" spans="6:18" x14ac:dyDescent="0.35">
      <c r="F160" s="16"/>
      <c r="G160" s="16"/>
      <c r="H160" s="16"/>
      <c r="J160" s="45"/>
      <c r="K160" s="6" t="s">
        <v>136</v>
      </c>
      <c r="L160" s="7" t="s">
        <v>4</v>
      </c>
      <c r="M160" s="52">
        <v>124</v>
      </c>
      <c r="N160" s="62">
        <v>2.2999999999999998</v>
      </c>
      <c r="O160" s="4">
        <v>0</v>
      </c>
      <c r="P160" s="11">
        <f t="shared" si="5"/>
        <v>2.2000000000000002</v>
      </c>
      <c r="Q160" s="59">
        <v>2</v>
      </c>
      <c r="R160" s="66">
        <f t="shared" si="6"/>
        <v>53.913043478260875</v>
      </c>
    </row>
    <row r="161" spans="6:18" x14ac:dyDescent="0.35">
      <c r="F161" s="16"/>
      <c r="G161" s="16"/>
      <c r="H161" s="16"/>
      <c r="J161" s="45"/>
      <c r="K161" s="6" t="s">
        <v>137</v>
      </c>
      <c r="L161" s="7" t="s">
        <v>4</v>
      </c>
      <c r="M161" s="52">
        <v>119</v>
      </c>
      <c r="N161" s="62">
        <v>2.2999999999999998</v>
      </c>
      <c r="O161" s="4">
        <v>0</v>
      </c>
      <c r="P161" s="11">
        <f t="shared" si="5"/>
        <v>2.2000000000000002</v>
      </c>
      <c r="Q161" s="59">
        <v>2</v>
      </c>
      <c r="R161" s="66">
        <f t="shared" si="6"/>
        <v>51.739130434782609</v>
      </c>
    </row>
    <row r="162" spans="6:18" x14ac:dyDescent="0.35">
      <c r="F162" s="16"/>
      <c r="G162" s="16"/>
      <c r="H162" s="16"/>
      <c r="J162" s="45"/>
      <c r="K162" s="6" t="s">
        <v>138</v>
      </c>
      <c r="L162" s="7" t="s">
        <v>4</v>
      </c>
      <c r="M162" s="52">
        <v>89</v>
      </c>
      <c r="N162" s="62">
        <v>2.875</v>
      </c>
      <c r="O162" s="4">
        <v>0</v>
      </c>
      <c r="P162" s="11">
        <f t="shared" si="5"/>
        <v>2.75</v>
      </c>
      <c r="Q162" s="59">
        <v>2.5</v>
      </c>
      <c r="R162" s="66">
        <f t="shared" si="6"/>
        <v>30.956521739130434</v>
      </c>
    </row>
    <row r="163" spans="6:18" x14ac:dyDescent="0.35">
      <c r="F163" s="16"/>
      <c r="G163" s="16"/>
      <c r="H163" s="16"/>
      <c r="J163" s="45"/>
      <c r="K163" s="6" t="s">
        <v>139</v>
      </c>
      <c r="L163" s="7" t="s">
        <v>4</v>
      </c>
      <c r="M163" s="52">
        <v>143</v>
      </c>
      <c r="N163" s="62">
        <v>2.875</v>
      </c>
      <c r="O163" s="4">
        <v>0</v>
      </c>
      <c r="P163" s="11">
        <f t="shared" si="5"/>
        <v>2.75</v>
      </c>
      <c r="Q163" s="59">
        <v>2.5</v>
      </c>
      <c r="R163" s="66">
        <f t="shared" si="6"/>
        <v>49.739130434782609</v>
      </c>
    </row>
    <row r="164" spans="6:18" x14ac:dyDescent="0.35">
      <c r="F164" s="16"/>
      <c r="G164" s="16"/>
      <c r="H164" s="16"/>
      <c r="J164" s="45"/>
      <c r="K164" s="6" t="s">
        <v>140</v>
      </c>
      <c r="L164" s="7" t="s">
        <v>4</v>
      </c>
      <c r="M164" s="52">
        <v>133</v>
      </c>
      <c r="N164" s="62">
        <v>2.2999999999999998</v>
      </c>
      <c r="O164" s="4">
        <v>0</v>
      </c>
      <c r="P164" s="11">
        <f t="shared" si="5"/>
        <v>2.2000000000000002</v>
      </c>
      <c r="Q164" s="59">
        <v>2</v>
      </c>
      <c r="R164" s="66">
        <f t="shared" si="6"/>
        <v>57.826086956521742</v>
      </c>
    </row>
    <row r="165" spans="6:18" x14ac:dyDescent="0.35">
      <c r="F165" s="16"/>
      <c r="G165" s="16"/>
      <c r="H165" s="16"/>
      <c r="J165" s="45"/>
      <c r="K165" s="6" t="s">
        <v>141</v>
      </c>
      <c r="L165" s="7" t="s">
        <v>4</v>
      </c>
      <c r="M165" s="52">
        <v>148</v>
      </c>
      <c r="N165" s="62">
        <v>2.875</v>
      </c>
      <c r="O165" s="4">
        <v>0</v>
      </c>
      <c r="P165" s="11">
        <f t="shared" si="5"/>
        <v>2.75</v>
      </c>
      <c r="Q165" s="59">
        <v>2.5</v>
      </c>
      <c r="R165" s="66">
        <f t="shared" si="6"/>
        <v>51.478260869565219</v>
      </c>
    </row>
    <row r="166" spans="6:18" x14ac:dyDescent="0.35">
      <c r="F166" s="16"/>
      <c r="G166" s="16"/>
      <c r="H166" s="16"/>
      <c r="J166" s="45"/>
      <c r="K166" s="6" t="s">
        <v>142</v>
      </c>
      <c r="L166" s="7" t="s">
        <v>4</v>
      </c>
      <c r="M166" s="52">
        <v>89</v>
      </c>
      <c r="N166" s="62">
        <v>1.7249999999999999</v>
      </c>
      <c r="O166" s="4">
        <v>0</v>
      </c>
      <c r="P166" s="11">
        <f t="shared" si="5"/>
        <v>1.6500000000000001</v>
      </c>
      <c r="Q166" s="59">
        <v>1.5</v>
      </c>
      <c r="R166" s="66">
        <f t="shared" si="6"/>
        <v>51.594202898550726</v>
      </c>
    </row>
    <row r="167" spans="6:18" x14ac:dyDescent="0.35">
      <c r="F167" s="16"/>
      <c r="G167" s="16"/>
      <c r="H167" s="16"/>
      <c r="J167" s="45"/>
      <c r="K167" s="6" t="s">
        <v>143</v>
      </c>
      <c r="L167" s="7" t="s">
        <v>4</v>
      </c>
      <c r="M167" s="52">
        <v>89</v>
      </c>
      <c r="N167" s="62">
        <v>1.7249999999999999</v>
      </c>
      <c r="O167" s="4">
        <v>0</v>
      </c>
      <c r="P167" s="11">
        <f t="shared" si="5"/>
        <v>1.6500000000000001</v>
      </c>
      <c r="Q167" s="59">
        <v>1.5</v>
      </c>
      <c r="R167" s="66">
        <f t="shared" si="6"/>
        <v>51.594202898550726</v>
      </c>
    </row>
    <row r="168" spans="6:18" x14ac:dyDescent="0.35">
      <c r="F168" s="16"/>
      <c r="G168" s="16"/>
      <c r="H168" s="16"/>
      <c r="J168" s="45"/>
      <c r="K168" s="6" t="s">
        <v>144</v>
      </c>
      <c r="L168" s="7" t="s">
        <v>4</v>
      </c>
      <c r="M168" s="52">
        <v>88</v>
      </c>
      <c r="N168" s="62">
        <v>2.2999999999999998</v>
      </c>
      <c r="O168" s="4">
        <v>0</v>
      </c>
      <c r="P168" s="11">
        <f t="shared" si="5"/>
        <v>2.2000000000000002</v>
      </c>
      <c r="Q168" s="59">
        <v>2</v>
      </c>
      <c r="R168" s="66">
        <f t="shared" si="6"/>
        <v>38.260869565217398</v>
      </c>
    </row>
    <row r="169" spans="6:18" x14ac:dyDescent="0.35">
      <c r="F169" s="16"/>
      <c r="G169" s="16"/>
      <c r="H169" s="16"/>
      <c r="J169" s="45"/>
      <c r="K169" s="6" t="s">
        <v>145</v>
      </c>
      <c r="L169" s="7" t="s">
        <v>4</v>
      </c>
      <c r="M169" s="52">
        <v>108</v>
      </c>
      <c r="N169" s="62">
        <v>2.2999999999999998</v>
      </c>
      <c r="O169" s="4">
        <v>0</v>
      </c>
      <c r="P169" s="11">
        <f t="shared" si="5"/>
        <v>2.2000000000000002</v>
      </c>
      <c r="Q169" s="59">
        <v>2</v>
      </c>
      <c r="R169" s="66">
        <f t="shared" si="6"/>
        <v>46.956521739130437</v>
      </c>
    </row>
    <row r="170" spans="6:18" x14ac:dyDescent="0.35">
      <c r="F170" s="16"/>
      <c r="G170" s="16"/>
      <c r="H170" s="16"/>
      <c r="J170" s="45"/>
      <c r="K170" s="6" t="s">
        <v>146</v>
      </c>
      <c r="L170" s="7" t="s">
        <v>4</v>
      </c>
      <c r="M170" s="52">
        <v>147</v>
      </c>
      <c r="N170" s="62">
        <v>2.2999999999999998</v>
      </c>
      <c r="O170" s="4">
        <v>0</v>
      </c>
      <c r="P170" s="11">
        <f t="shared" si="5"/>
        <v>2.2000000000000002</v>
      </c>
      <c r="Q170" s="59">
        <v>2</v>
      </c>
      <c r="R170" s="66">
        <f t="shared" si="6"/>
        <v>63.913043478260875</v>
      </c>
    </row>
    <row r="171" spans="6:18" x14ac:dyDescent="0.35">
      <c r="F171" s="16"/>
      <c r="G171" s="16"/>
      <c r="H171" s="16"/>
      <c r="J171" s="45"/>
      <c r="K171" s="6" t="s">
        <v>147</v>
      </c>
      <c r="L171" s="7" t="s">
        <v>4</v>
      </c>
      <c r="M171" s="52">
        <v>115</v>
      </c>
      <c r="N171" s="62">
        <v>2.2999999999999998</v>
      </c>
      <c r="O171" s="4">
        <v>0</v>
      </c>
      <c r="P171" s="11">
        <f t="shared" si="5"/>
        <v>2.2000000000000002</v>
      </c>
      <c r="Q171" s="59">
        <v>2</v>
      </c>
      <c r="R171" s="66">
        <f t="shared" si="6"/>
        <v>50.000000000000007</v>
      </c>
    </row>
    <row r="172" spans="6:18" x14ac:dyDescent="0.35">
      <c r="F172" s="16"/>
      <c r="G172" s="16"/>
      <c r="H172" s="16"/>
      <c r="J172" s="45"/>
      <c r="K172" s="6" t="s">
        <v>148</v>
      </c>
      <c r="L172" s="7" t="s">
        <v>4</v>
      </c>
      <c r="M172" s="52">
        <v>109</v>
      </c>
      <c r="N172" s="62">
        <v>2.2999999999999998</v>
      </c>
      <c r="O172" s="4">
        <v>0</v>
      </c>
      <c r="P172" s="11">
        <f t="shared" si="5"/>
        <v>2.2000000000000002</v>
      </c>
      <c r="Q172" s="59">
        <v>2</v>
      </c>
      <c r="R172" s="66">
        <f t="shared" si="6"/>
        <v>47.391304347826093</v>
      </c>
    </row>
    <row r="173" spans="6:18" x14ac:dyDescent="0.35">
      <c r="F173" s="16"/>
      <c r="G173" s="16"/>
      <c r="H173" s="16"/>
      <c r="J173" s="45"/>
      <c r="K173" s="6" t="s">
        <v>149</v>
      </c>
      <c r="L173" s="7" t="s">
        <v>4</v>
      </c>
      <c r="M173" s="52">
        <v>85</v>
      </c>
      <c r="N173" s="62">
        <v>2.2999999999999998</v>
      </c>
      <c r="O173" s="4">
        <v>0</v>
      </c>
      <c r="P173" s="11">
        <f t="shared" si="5"/>
        <v>2.2000000000000002</v>
      </c>
      <c r="Q173" s="59">
        <v>2</v>
      </c>
      <c r="R173" s="66">
        <f t="shared" si="6"/>
        <v>36.956521739130437</v>
      </c>
    </row>
    <row r="174" spans="6:18" x14ac:dyDescent="0.35">
      <c r="F174" s="16"/>
      <c r="G174" s="16"/>
      <c r="H174" s="16"/>
      <c r="J174" s="45"/>
      <c r="K174" s="6" t="s">
        <v>150</v>
      </c>
      <c r="L174" s="7" t="s">
        <v>4</v>
      </c>
      <c r="M174" s="52">
        <v>119</v>
      </c>
      <c r="N174" s="62">
        <v>1.7249999999999999</v>
      </c>
      <c r="O174" s="4">
        <v>0</v>
      </c>
      <c r="P174" s="11">
        <f t="shared" si="5"/>
        <v>1.6500000000000001</v>
      </c>
      <c r="Q174" s="59">
        <v>1.5</v>
      </c>
      <c r="R174" s="66">
        <f t="shared" si="6"/>
        <v>68.985507246376812</v>
      </c>
    </row>
    <row r="175" spans="6:18" x14ac:dyDescent="0.35">
      <c r="F175" s="16"/>
      <c r="G175" s="16"/>
      <c r="H175" s="16"/>
      <c r="J175" s="45"/>
      <c r="K175" s="6" t="s">
        <v>151</v>
      </c>
      <c r="L175" s="7" t="s">
        <v>4</v>
      </c>
      <c r="M175" s="52">
        <v>155</v>
      </c>
      <c r="N175" s="62">
        <v>4.0249999999999995</v>
      </c>
      <c r="O175" s="4">
        <v>1</v>
      </c>
      <c r="P175" s="11">
        <f t="shared" si="5"/>
        <v>3.8500000000000005</v>
      </c>
      <c r="Q175" s="59">
        <v>3.5</v>
      </c>
      <c r="R175" s="66">
        <f t="shared" si="6"/>
        <v>38.509316770186338</v>
      </c>
    </row>
    <row r="176" spans="6:18" x14ac:dyDescent="0.35">
      <c r="F176" s="16"/>
      <c r="G176" s="16"/>
      <c r="H176" s="16"/>
      <c r="J176" s="45"/>
      <c r="K176" s="6" t="s">
        <v>152</v>
      </c>
      <c r="L176" s="7" t="s">
        <v>4</v>
      </c>
      <c r="M176" s="52">
        <v>126</v>
      </c>
      <c r="N176" s="62">
        <v>4.5999999999999996</v>
      </c>
      <c r="O176" s="4">
        <v>0</v>
      </c>
      <c r="P176" s="11">
        <f t="shared" si="5"/>
        <v>4.4000000000000004</v>
      </c>
      <c r="Q176" s="59">
        <v>4</v>
      </c>
      <c r="R176" s="66">
        <f t="shared" si="6"/>
        <v>27.39130434782609</v>
      </c>
    </row>
    <row r="177" spans="6:18" x14ac:dyDescent="0.35">
      <c r="F177" s="16"/>
      <c r="G177" s="16"/>
      <c r="H177" s="16"/>
      <c r="J177" s="45"/>
      <c r="K177" s="6" t="s">
        <v>153</v>
      </c>
      <c r="L177" s="7" t="s">
        <v>4</v>
      </c>
      <c r="M177" s="52">
        <v>136</v>
      </c>
      <c r="N177" s="62">
        <v>2.2999999999999998</v>
      </c>
      <c r="O177" s="4">
        <v>0</v>
      </c>
      <c r="P177" s="11">
        <f t="shared" si="5"/>
        <v>2.2000000000000002</v>
      </c>
      <c r="Q177" s="59">
        <v>2</v>
      </c>
      <c r="R177" s="66">
        <f t="shared" si="6"/>
        <v>59.130434782608702</v>
      </c>
    </row>
    <row r="178" spans="6:18" x14ac:dyDescent="0.35">
      <c r="F178" s="16"/>
      <c r="G178" s="16"/>
      <c r="H178" s="16"/>
      <c r="J178" s="45"/>
      <c r="K178" s="6" t="s">
        <v>154</v>
      </c>
      <c r="L178" s="7" t="s">
        <v>4</v>
      </c>
      <c r="M178" s="52">
        <v>103</v>
      </c>
      <c r="N178" s="62">
        <v>1.7249999999999999</v>
      </c>
      <c r="O178" s="4">
        <v>0</v>
      </c>
      <c r="P178" s="11">
        <f t="shared" si="5"/>
        <v>1.6500000000000001</v>
      </c>
      <c r="Q178" s="59">
        <v>1.5</v>
      </c>
      <c r="R178" s="66">
        <f t="shared" si="6"/>
        <v>59.710144927536234</v>
      </c>
    </row>
    <row r="179" spans="6:18" x14ac:dyDescent="0.35">
      <c r="F179" s="16"/>
      <c r="G179" s="16"/>
      <c r="H179" s="16"/>
      <c r="J179" s="45"/>
      <c r="K179" s="6" t="s">
        <v>155</v>
      </c>
      <c r="L179" s="7" t="s">
        <v>4</v>
      </c>
      <c r="M179" s="52">
        <v>114</v>
      </c>
      <c r="N179" s="62">
        <v>1.7249999999999999</v>
      </c>
      <c r="O179" s="4">
        <v>0</v>
      </c>
      <c r="P179" s="11">
        <f t="shared" si="5"/>
        <v>1.6500000000000001</v>
      </c>
      <c r="Q179" s="59">
        <v>1.5</v>
      </c>
      <c r="R179" s="66">
        <f t="shared" si="6"/>
        <v>66.08695652173914</v>
      </c>
    </row>
    <row r="180" spans="6:18" x14ac:dyDescent="0.35">
      <c r="F180" s="16"/>
      <c r="G180" s="16"/>
      <c r="H180" s="16"/>
      <c r="J180" s="45"/>
      <c r="K180" s="6" t="s">
        <v>156</v>
      </c>
      <c r="L180" s="7" t="s">
        <v>4</v>
      </c>
      <c r="M180" s="52">
        <v>101</v>
      </c>
      <c r="N180" s="62">
        <v>1.7249999999999999</v>
      </c>
      <c r="O180" s="4">
        <v>0</v>
      </c>
      <c r="P180" s="11">
        <f t="shared" si="5"/>
        <v>1.6500000000000001</v>
      </c>
      <c r="Q180" s="59">
        <v>1.5</v>
      </c>
      <c r="R180" s="66">
        <f t="shared" si="6"/>
        <v>58.550724637681164</v>
      </c>
    </row>
    <row r="181" spans="6:18" x14ac:dyDescent="0.35">
      <c r="F181" s="16"/>
      <c r="G181" s="16"/>
      <c r="H181" s="16"/>
      <c r="J181" s="45"/>
      <c r="K181" s="6" t="s">
        <v>157</v>
      </c>
      <c r="L181" s="7" t="s">
        <v>5</v>
      </c>
      <c r="M181" s="52">
        <v>142</v>
      </c>
      <c r="N181" s="62">
        <v>2.875</v>
      </c>
      <c r="O181" s="4">
        <v>0</v>
      </c>
      <c r="P181" s="11">
        <f t="shared" si="5"/>
        <v>2.75</v>
      </c>
      <c r="Q181" s="59">
        <v>2.5</v>
      </c>
      <c r="R181" s="66">
        <f t="shared" si="6"/>
        <v>49.391304347826086</v>
      </c>
    </row>
    <row r="182" spans="6:18" x14ac:dyDescent="0.35">
      <c r="F182" s="16"/>
      <c r="G182" s="16"/>
      <c r="H182" s="16"/>
      <c r="J182" s="45"/>
      <c r="K182" s="6" t="s">
        <v>158</v>
      </c>
      <c r="L182" s="7" t="s">
        <v>5</v>
      </c>
      <c r="M182" s="52">
        <v>144.5</v>
      </c>
      <c r="N182" s="62">
        <v>2.875</v>
      </c>
      <c r="O182" s="4">
        <v>0</v>
      </c>
      <c r="P182" s="11">
        <f t="shared" si="5"/>
        <v>2.75</v>
      </c>
      <c r="Q182" s="59">
        <v>2.5</v>
      </c>
      <c r="R182" s="66">
        <f t="shared" si="6"/>
        <v>50.260869565217391</v>
      </c>
    </row>
    <row r="183" spans="6:18" x14ac:dyDescent="0.35">
      <c r="F183" s="16"/>
      <c r="G183" s="16"/>
      <c r="H183" s="16"/>
      <c r="J183" s="45"/>
      <c r="K183" s="6" t="s">
        <v>159</v>
      </c>
      <c r="L183" s="7" t="s">
        <v>5</v>
      </c>
      <c r="M183" s="52">
        <v>151.5</v>
      </c>
      <c r="N183" s="62">
        <v>2.875</v>
      </c>
      <c r="O183" s="4">
        <v>1</v>
      </c>
      <c r="P183" s="11">
        <f t="shared" si="5"/>
        <v>2.75</v>
      </c>
      <c r="Q183" s="59">
        <v>2.5</v>
      </c>
      <c r="R183" s="66">
        <f t="shared" si="6"/>
        <v>52.695652173913047</v>
      </c>
    </row>
    <row r="184" spans="6:18" x14ac:dyDescent="0.35">
      <c r="F184" s="16"/>
      <c r="G184" s="16"/>
      <c r="H184" s="16"/>
      <c r="J184" s="45"/>
      <c r="K184" s="6" t="s">
        <v>160</v>
      </c>
      <c r="L184" s="7" t="s">
        <v>5</v>
      </c>
      <c r="M184" s="52">
        <v>148</v>
      </c>
      <c r="N184" s="62">
        <v>2.2999999999999998</v>
      </c>
      <c r="O184" s="4">
        <v>0</v>
      </c>
      <c r="P184" s="11">
        <f t="shared" si="5"/>
        <v>2.2000000000000002</v>
      </c>
      <c r="Q184" s="59">
        <v>2</v>
      </c>
      <c r="R184" s="66">
        <f t="shared" si="6"/>
        <v>64.34782608695653</v>
      </c>
    </row>
    <row r="185" spans="6:18" x14ac:dyDescent="0.35">
      <c r="F185" s="16"/>
      <c r="G185" s="16"/>
      <c r="H185" s="16"/>
      <c r="J185" s="45"/>
      <c r="K185" s="6" t="s">
        <v>161</v>
      </c>
      <c r="L185" s="7" t="s">
        <v>5</v>
      </c>
      <c r="M185" s="52">
        <v>150.5</v>
      </c>
      <c r="N185" s="62">
        <v>2.2999999999999998</v>
      </c>
      <c r="O185" s="4">
        <v>0</v>
      </c>
      <c r="P185" s="11">
        <f t="shared" si="5"/>
        <v>2.2000000000000002</v>
      </c>
      <c r="Q185" s="59">
        <v>2</v>
      </c>
      <c r="R185" s="66">
        <f t="shared" si="6"/>
        <v>65.434782608695656</v>
      </c>
    </row>
    <row r="186" spans="6:18" x14ac:dyDescent="0.35">
      <c r="F186" s="16"/>
      <c r="G186" s="16"/>
      <c r="H186" s="16"/>
      <c r="J186" s="45"/>
      <c r="K186" s="6" t="s">
        <v>162</v>
      </c>
      <c r="L186" s="7" t="s">
        <v>5</v>
      </c>
      <c r="M186" s="52">
        <v>143</v>
      </c>
      <c r="N186" s="62">
        <v>1.7249999999999999</v>
      </c>
      <c r="O186" s="4">
        <v>0</v>
      </c>
      <c r="P186" s="11">
        <f t="shared" si="5"/>
        <v>1.6500000000000001</v>
      </c>
      <c r="Q186" s="59">
        <v>1.5</v>
      </c>
      <c r="R186" s="66">
        <f t="shared" si="6"/>
        <v>82.898550724637687</v>
      </c>
    </row>
    <row r="187" spans="6:18" x14ac:dyDescent="0.35">
      <c r="F187" s="16"/>
      <c r="G187" s="16"/>
      <c r="H187" s="16"/>
      <c r="J187" s="45"/>
      <c r="K187" s="6" t="s">
        <v>163</v>
      </c>
      <c r="L187" s="7" t="s">
        <v>5</v>
      </c>
      <c r="M187" s="52">
        <v>127.5</v>
      </c>
      <c r="N187" s="62">
        <v>2.2999999999999998</v>
      </c>
      <c r="O187" s="4">
        <v>0</v>
      </c>
      <c r="P187" s="11">
        <f t="shared" si="5"/>
        <v>2.2000000000000002</v>
      </c>
      <c r="Q187" s="59">
        <v>2</v>
      </c>
      <c r="R187" s="66">
        <f t="shared" si="6"/>
        <v>55.434782608695656</v>
      </c>
    </row>
    <row r="188" spans="6:18" x14ac:dyDescent="0.35">
      <c r="F188" s="16"/>
      <c r="G188" s="16"/>
      <c r="H188" s="16"/>
      <c r="J188" s="45"/>
      <c r="K188" s="6" t="s">
        <v>164</v>
      </c>
      <c r="L188" s="7" t="s">
        <v>5</v>
      </c>
      <c r="M188" s="52">
        <v>127.5</v>
      </c>
      <c r="N188" s="62">
        <v>1.7249999999999999</v>
      </c>
      <c r="O188" s="4">
        <v>0</v>
      </c>
      <c r="P188" s="11">
        <f t="shared" si="5"/>
        <v>1.6500000000000001</v>
      </c>
      <c r="Q188" s="59">
        <v>1.5</v>
      </c>
      <c r="R188" s="66">
        <f t="shared" si="6"/>
        <v>73.913043478260875</v>
      </c>
    </row>
    <row r="189" spans="6:18" x14ac:dyDescent="0.35">
      <c r="F189" s="16"/>
      <c r="G189" s="16"/>
      <c r="H189" s="16"/>
      <c r="J189" s="45"/>
      <c r="K189" s="6" t="s">
        <v>165</v>
      </c>
      <c r="L189" s="7" t="s">
        <v>5</v>
      </c>
      <c r="M189" s="52">
        <v>135.5</v>
      </c>
      <c r="N189" s="62">
        <v>2.2999999999999998</v>
      </c>
      <c r="O189" s="4">
        <v>0</v>
      </c>
      <c r="P189" s="11">
        <f t="shared" si="5"/>
        <v>2.2000000000000002</v>
      </c>
      <c r="Q189" s="59">
        <v>2</v>
      </c>
      <c r="R189" s="66">
        <f t="shared" si="6"/>
        <v>58.913043478260875</v>
      </c>
    </row>
    <row r="190" spans="6:18" x14ac:dyDescent="0.35">
      <c r="F190" s="16"/>
      <c r="G190" s="16"/>
      <c r="H190" s="16"/>
      <c r="J190" s="45"/>
      <c r="K190" s="6" t="s">
        <v>166</v>
      </c>
      <c r="L190" s="7" t="s">
        <v>5</v>
      </c>
      <c r="M190" s="52">
        <v>134.5</v>
      </c>
      <c r="N190" s="62">
        <v>1.7249999999999999</v>
      </c>
      <c r="O190" s="4">
        <v>0</v>
      </c>
      <c r="P190" s="11">
        <f t="shared" si="5"/>
        <v>1.6500000000000001</v>
      </c>
      <c r="Q190" s="59">
        <v>1.5</v>
      </c>
      <c r="R190" s="66">
        <f t="shared" si="6"/>
        <v>77.971014492753625</v>
      </c>
    </row>
    <row r="191" spans="6:18" x14ac:dyDescent="0.35">
      <c r="F191" s="16"/>
      <c r="G191" s="16"/>
      <c r="H191" s="16"/>
      <c r="J191" s="45"/>
      <c r="K191" s="6" t="s">
        <v>167</v>
      </c>
      <c r="L191" s="7" t="s">
        <v>5</v>
      </c>
      <c r="M191" s="52">
        <v>125</v>
      </c>
      <c r="N191" s="62">
        <v>2.2999999999999998</v>
      </c>
      <c r="O191" s="4">
        <v>0</v>
      </c>
      <c r="P191" s="11">
        <f t="shared" si="5"/>
        <v>2.2000000000000002</v>
      </c>
      <c r="Q191" s="59">
        <v>2</v>
      </c>
      <c r="R191" s="66">
        <f t="shared" si="6"/>
        <v>54.347826086956523</v>
      </c>
    </row>
    <row r="192" spans="6:18" x14ac:dyDescent="0.35">
      <c r="F192" s="16"/>
      <c r="G192" s="16"/>
      <c r="H192" s="16"/>
      <c r="J192" s="45"/>
      <c r="K192" s="6" t="s">
        <v>168</v>
      </c>
      <c r="L192" s="7" t="s">
        <v>5</v>
      </c>
      <c r="M192" s="52">
        <v>137.5</v>
      </c>
      <c r="N192" s="62">
        <v>2.2999999999999998</v>
      </c>
      <c r="O192" s="4">
        <v>0</v>
      </c>
      <c r="P192" s="11">
        <f t="shared" si="5"/>
        <v>2.2000000000000002</v>
      </c>
      <c r="Q192" s="59">
        <v>2</v>
      </c>
      <c r="R192" s="66">
        <f t="shared" si="6"/>
        <v>59.782608695652179</v>
      </c>
    </row>
    <row r="193" spans="6:18" x14ac:dyDescent="0.35">
      <c r="F193" s="16"/>
      <c r="G193" s="16"/>
      <c r="H193" s="16"/>
      <c r="J193" s="45"/>
      <c r="K193" s="6" t="s">
        <v>169</v>
      </c>
      <c r="L193" s="7" t="s">
        <v>5</v>
      </c>
      <c r="M193" s="52">
        <v>138</v>
      </c>
      <c r="N193" s="62">
        <v>2.2999999999999998</v>
      </c>
      <c r="O193" s="4">
        <v>0</v>
      </c>
      <c r="P193" s="11">
        <f t="shared" si="5"/>
        <v>2.2000000000000002</v>
      </c>
      <c r="Q193" s="59">
        <v>2</v>
      </c>
      <c r="R193" s="66">
        <f t="shared" si="6"/>
        <v>60.000000000000007</v>
      </c>
    </row>
    <row r="194" spans="6:18" x14ac:dyDescent="0.35">
      <c r="F194" s="16"/>
      <c r="G194" s="16"/>
      <c r="H194" s="16"/>
      <c r="J194" s="45"/>
      <c r="K194" s="6" t="s">
        <v>170</v>
      </c>
      <c r="L194" s="7" t="s">
        <v>5</v>
      </c>
      <c r="M194" s="52">
        <v>108.5</v>
      </c>
      <c r="N194" s="62">
        <v>1.7249999999999999</v>
      </c>
      <c r="O194" s="4">
        <v>0</v>
      </c>
      <c r="P194" s="11">
        <f t="shared" si="5"/>
        <v>1.6500000000000001</v>
      </c>
      <c r="Q194" s="59">
        <v>1.5</v>
      </c>
      <c r="R194" s="66">
        <f t="shared" si="6"/>
        <v>62.898550724637687</v>
      </c>
    </row>
    <row r="195" spans="6:18" x14ac:dyDescent="0.35">
      <c r="F195" s="16"/>
      <c r="G195" s="16"/>
      <c r="H195" s="16"/>
      <c r="J195" s="45"/>
      <c r="K195" s="6" t="s">
        <v>171</v>
      </c>
      <c r="L195" s="7" t="s">
        <v>5</v>
      </c>
      <c r="M195" s="52">
        <v>133</v>
      </c>
      <c r="N195" s="62">
        <v>2.2999999999999998</v>
      </c>
      <c r="O195" s="4">
        <v>0</v>
      </c>
      <c r="P195" s="11">
        <f t="shared" ref="P195:P197" si="7">Q195*1.1</f>
        <v>2.2000000000000002</v>
      </c>
      <c r="Q195" s="59">
        <v>2</v>
      </c>
      <c r="R195" s="66">
        <f t="shared" ref="R195:R197" si="8">M195/N195</f>
        <v>57.826086956521742</v>
      </c>
    </row>
    <row r="196" spans="6:18" x14ac:dyDescent="0.35">
      <c r="F196" s="16"/>
      <c r="G196" s="16"/>
      <c r="H196" s="16"/>
      <c r="J196" s="45"/>
      <c r="K196" s="6" t="s">
        <v>172</v>
      </c>
      <c r="L196" s="7" t="s">
        <v>5</v>
      </c>
      <c r="M196" s="52">
        <v>112</v>
      </c>
      <c r="N196" s="62">
        <v>2.2999999999999998</v>
      </c>
      <c r="O196" s="4">
        <v>0</v>
      </c>
      <c r="P196" s="11">
        <f t="shared" si="7"/>
        <v>2.2000000000000002</v>
      </c>
      <c r="Q196" s="59">
        <v>2</v>
      </c>
      <c r="R196" s="66">
        <f t="shared" si="8"/>
        <v>48.695652173913047</v>
      </c>
    </row>
    <row r="197" spans="6:18" x14ac:dyDescent="0.35">
      <c r="F197" s="16"/>
      <c r="G197" s="16"/>
      <c r="H197" s="16"/>
      <c r="J197" s="45"/>
      <c r="K197" s="6" t="s">
        <v>173</v>
      </c>
      <c r="L197" s="7" t="s">
        <v>5</v>
      </c>
      <c r="M197" s="52">
        <v>123.5</v>
      </c>
      <c r="N197" s="62">
        <v>2.2999999999999998</v>
      </c>
      <c r="O197" s="4">
        <v>0</v>
      </c>
      <c r="P197" s="11">
        <f t="shared" si="7"/>
        <v>2.2000000000000002</v>
      </c>
      <c r="Q197" s="59">
        <v>2</v>
      </c>
      <c r="R197" s="66">
        <f t="shared" si="8"/>
        <v>53.695652173913047</v>
      </c>
    </row>
    <row r="198" spans="6:18" x14ac:dyDescent="0.35">
      <c r="F198" s="16"/>
      <c r="G198" s="16"/>
      <c r="H198" s="16"/>
      <c r="N198" s="12"/>
      <c r="P198" s="12"/>
      <c r="Q198" s="60"/>
      <c r="R198" s="60"/>
    </row>
    <row r="199" spans="6:18" x14ac:dyDescent="0.35">
      <c r="F199" s="16"/>
      <c r="G199" s="16"/>
      <c r="H199" s="16"/>
    </row>
    <row r="200" spans="6:18" x14ac:dyDescent="0.35">
      <c r="F200" s="16"/>
      <c r="G200" s="16"/>
      <c r="H200" s="16"/>
    </row>
    <row r="201" spans="6:18" x14ac:dyDescent="0.35">
      <c r="F201" s="16"/>
      <c r="G201" s="16"/>
      <c r="H201" s="16"/>
    </row>
    <row r="202" spans="6:18" x14ac:dyDescent="0.35">
      <c r="F202" s="16"/>
      <c r="G202" s="16"/>
      <c r="H202" s="16"/>
    </row>
    <row r="203" spans="6:18" x14ac:dyDescent="0.35">
      <c r="F203" s="16"/>
      <c r="G203" s="16"/>
      <c r="H203" s="16"/>
    </row>
    <row r="204" spans="6:18" x14ac:dyDescent="0.35">
      <c r="F204" s="16"/>
      <c r="G204" s="16"/>
      <c r="H204" s="16"/>
    </row>
    <row r="205" spans="6:18" x14ac:dyDescent="0.35">
      <c r="F205" s="16"/>
      <c r="G205" s="16"/>
      <c r="H205" s="16"/>
    </row>
    <row r="206" spans="6:18" x14ac:dyDescent="0.35">
      <c r="F206" s="16"/>
      <c r="G206" s="16"/>
      <c r="H206" s="16"/>
    </row>
    <row r="207" spans="6:18" x14ac:dyDescent="0.35">
      <c r="F207" s="16"/>
      <c r="G207" s="16"/>
      <c r="H207" s="16"/>
    </row>
    <row r="208" spans="6:18" x14ac:dyDescent="0.35">
      <c r="F208" s="16"/>
      <c r="G208" s="16"/>
      <c r="H208" s="16"/>
    </row>
    <row r="209" spans="6:8" x14ac:dyDescent="0.35">
      <c r="F209" s="16"/>
      <c r="G209" s="16"/>
      <c r="H209" s="16"/>
    </row>
    <row r="210" spans="6:8" x14ac:dyDescent="0.35">
      <c r="F210" s="16"/>
      <c r="G210" s="16"/>
      <c r="H210" s="16"/>
    </row>
    <row r="211" spans="6:8" x14ac:dyDescent="0.35">
      <c r="F211" s="16"/>
      <c r="G211" s="16"/>
      <c r="H211" s="16"/>
    </row>
    <row r="212" spans="6:8" x14ac:dyDescent="0.35">
      <c r="F212" s="16"/>
      <c r="G212" s="16"/>
      <c r="H212" s="16"/>
    </row>
    <row r="213" spans="6:8" x14ac:dyDescent="0.35">
      <c r="F213" s="16"/>
      <c r="G213" s="16"/>
      <c r="H213" s="16"/>
    </row>
    <row r="214" spans="6:8" x14ac:dyDescent="0.35">
      <c r="F214" s="16"/>
      <c r="G214" s="16"/>
      <c r="H214" s="16"/>
    </row>
    <row r="215" spans="6:8" x14ac:dyDescent="0.35">
      <c r="F215" s="16"/>
      <c r="G215" s="16"/>
      <c r="H215" s="16"/>
    </row>
    <row r="216" spans="6:8" x14ac:dyDescent="0.35">
      <c r="F216" s="16"/>
      <c r="G216" s="16"/>
      <c r="H216" s="16"/>
    </row>
    <row r="217" spans="6:8" x14ac:dyDescent="0.35">
      <c r="F217" s="16"/>
      <c r="G217" s="16"/>
      <c r="H217" s="16"/>
    </row>
    <row r="218" spans="6:8" x14ac:dyDescent="0.35">
      <c r="F218" s="16"/>
      <c r="G218" s="16"/>
      <c r="H218" s="16"/>
    </row>
    <row r="219" spans="6:8" x14ac:dyDescent="0.35">
      <c r="F219" s="16"/>
      <c r="G219" s="16"/>
      <c r="H219" s="16"/>
    </row>
    <row r="220" spans="6:8" x14ac:dyDescent="0.35">
      <c r="F220" s="16"/>
      <c r="G220" s="16"/>
      <c r="H220" s="16"/>
    </row>
    <row r="221" spans="6:8" x14ac:dyDescent="0.35">
      <c r="F221" s="16"/>
      <c r="G221" s="16"/>
      <c r="H221" s="16"/>
    </row>
  </sheetData>
  <autoFilter ref="O1:O197"/>
  <mergeCells count="2">
    <mergeCell ref="A1:D1"/>
    <mergeCell ref="A22:D2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autoPict="0" r:id="rId5">
            <anchor moveWithCells="1">
              <from>
                <xdr:col>4</xdr:col>
                <xdr:colOff>127000</xdr:colOff>
                <xdr:row>0</xdr:row>
                <xdr:rowOff>146050</xdr:rowOff>
              </from>
              <to>
                <xdr:col>8</xdr:col>
                <xdr:colOff>127000</xdr:colOff>
                <xdr:row>0</xdr:row>
                <xdr:rowOff>685800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534"/>
  <sheetViews>
    <sheetView tabSelected="1" workbookViewId="0">
      <selection sqref="A1:D1"/>
    </sheetView>
  </sheetViews>
  <sheetFormatPr defaultColWidth="9.1796875" defaultRowHeight="14.5" x14ac:dyDescent="0.35"/>
  <cols>
    <col min="1" max="1" width="9.1796875" style="7"/>
    <col min="2" max="2" width="20.7265625" style="7" customWidth="1"/>
    <col min="3" max="3" width="9.1796875" style="7"/>
    <col min="4" max="4" width="8.81640625" style="7" customWidth="1"/>
    <col min="5" max="5" width="2.7265625" style="16" customWidth="1"/>
    <col min="6" max="6" width="16.26953125" style="8" customWidth="1"/>
    <col min="7" max="7" width="11.1796875" style="8" customWidth="1"/>
    <col min="8" max="8" width="10.453125" style="8" customWidth="1"/>
    <col min="9" max="9" width="2.7265625" style="16" customWidth="1"/>
    <col min="10" max="10" width="14" style="46" customWidth="1"/>
    <col min="11" max="11" width="20.7265625" style="8" customWidth="1"/>
    <col min="12" max="12" width="10.7265625" style="8" customWidth="1"/>
    <col min="13" max="13" width="9.453125" style="9" customWidth="1"/>
    <col min="14" max="14" width="9.1796875" style="13" customWidth="1"/>
    <col min="15" max="15" width="11.453125" style="8" customWidth="1"/>
    <col min="16" max="16" width="9.1796875" style="13" customWidth="1"/>
    <col min="17" max="18" width="11" style="61" customWidth="1"/>
    <col min="19" max="19" width="21.7265625" style="8" customWidth="1"/>
    <col min="20" max="22" width="9.1796875" style="8"/>
    <col min="24" max="16384" width="9.1796875" style="8"/>
  </cols>
  <sheetData>
    <row r="1" spans="1:22" ht="63.75" customHeight="1" thickBot="1" x14ac:dyDescent="0.6">
      <c r="A1" s="67" t="s">
        <v>9</v>
      </c>
      <c r="B1" s="67"/>
      <c r="C1" s="67"/>
      <c r="D1" s="67"/>
      <c r="E1" s="17"/>
      <c r="F1" s="16"/>
      <c r="G1" s="16"/>
      <c r="H1" s="16"/>
      <c r="I1" s="17"/>
      <c r="J1" s="47" t="s">
        <v>386</v>
      </c>
      <c r="K1" s="3" t="s">
        <v>10</v>
      </c>
      <c r="L1" s="3" t="s">
        <v>6</v>
      </c>
      <c r="M1" s="1" t="s">
        <v>23</v>
      </c>
      <c r="N1" s="63" t="s">
        <v>174</v>
      </c>
      <c r="O1" s="2" t="s">
        <v>22</v>
      </c>
      <c r="P1" s="10"/>
      <c r="Q1" s="58"/>
      <c r="R1" s="65" t="s">
        <v>230</v>
      </c>
      <c r="S1" s="8" t="s">
        <v>10</v>
      </c>
      <c r="T1" s="7" t="s">
        <v>6</v>
      </c>
      <c r="U1" s="8" t="s">
        <v>384</v>
      </c>
      <c r="V1" s="7" t="s">
        <v>385</v>
      </c>
    </row>
    <row r="2" spans="1:22" ht="15" thickTop="1" x14ac:dyDescent="0.35">
      <c r="A2" s="48" t="s">
        <v>6</v>
      </c>
      <c r="B2" s="48" t="s">
        <v>10</v>
      </c>
      <c r="C2" s="48" t="s">
        <v>11</v>
      </c>
      <c r="D2" s="48" t="s">
        <v>177</v>
      </c>
      <c r="F2" s="18" t="s">
        <v>12</v>
      </c>
      <c r="G2" s="19">
        <v>500</v>
      </c>
      <c r="H2" s="17"/>
      <c r="J2" s="45"/>
      <c r="K2" s="6" t="str">
        <f>S2</f>
        <v>ANDREW LUCK</v>
      </c>
      <c r="L2" s="7" t="str">
        <f>T2</f>
        <v>QB</v>
      </c>
      <c r="M2" s="52">
        <f>U2</f>
        <v>326.7</v>
      </c>
      <c r="N2" s="62">
        <f>V2</f>
        <v>94</v>
      </c>
      <c r="O2" s="4">
        <v>0</v>
      </c>
      <c r="P2" s="11"/>
      <c r="Q2" s="59"/>
      <c r="R2" s="66">
        <f>M2/N2</f>
        <v>3.475531914893617</v>
      </c>
      <c r="S2" s="5" t="s">
        <v>244</v>
      </c>
      <c r="T2" s="5" t="s">
        <v>0</v>
      </c>
      <c r="U2" s="5">
        <v>326.7</v>
      </c>
      <c r="V2" s="5">
        <v>94</v>
      </c>
    </row>
    <row r="3" spans="1:22" x14ac:dyDescent="0.35">
      <c r="A3" s="53" t="s">
        <v>0</v>
      </c>
      <c r="B3" s="7" t="s">
        <v>341</v>
      </c>
      <c r="C3" s="51">
        <v>38</v>
      </c>
      <c r="D3" s="50"/>
      <c r="F3" s="43" t="s">
        <v>13</v>
      </c>
      <c r="G3" s="44">
        <v>30</v>
      </c>
      <c r="H3" s="16"/>
      <c r="J3" s="45"/>
      <c r="K3" s="6" t="str">
        <f t="shared" ref="K3:K66" si="0">S3</f>
        <v>AARON RODGERS</v>
      </c>
      <c r="L3" s="7" t="str">
        <f t="shared" ref="L3:L66" si="1">T3</f>
        <v>QB</v>
      </c>
      <c r="M3" s="52">
        <f t="shared" ref="M3:M66" si="2">U3</f>
        <v>321.3</v>
      </c>
      <c r="N3" s="62">
        <f t="shared" ref="N3:N66" si="3">V3</f>
        <v>87</v>
      </c>
      <c r="O3" s="4">
        <v>0</v>
      </c>
      <c r="P3" s="11"/>
      <c r="Q3" s="59"/>
      <c r="R3" s="66">
        <f>M3/N3</f>
        <v>3.693103448275862</v>
      </c>
      <c r="S3" s="5" t="s">
        <v>233</v>
      </c>
      <c r="T3" s="5" t="s">
        <v>0</v>
      </c>
      <c r="U3" s="5">
        <v>321.3</v>
      </c>
      <c r="V3" s="5">
        <v>87</v>
      </c>
    </row>
    <row r="4" spans="1:22" ht="15" thickBot="1" x14ac:dyDescent="0.4">
      <c r="A4" s="53" t="s">
        <v>18</v>
      </c>
      <c r="B4" s="7" t="s">
        <v>337</v>
      </c>
      <c r="C4" s="51">
        <v>134</v>
      </c>
      <c r="D4" s="50"/>
      <c r="F4" s="20" t="s">
        <v>14</v>
      </c>
      <c r="G4" s="21">
        <f>G2-G3-(SUM(C24:C54))</f>
        <v>470</v>
      </c>
      <c r="H4" s="16"/>
      <c r="J4" s="45"/>
      <c r="K4" s="6" t="str">
        <f t="shared" si="0"/>
        <v>RUSSELL WILSON</v>
      </c>
      <c r="L4" s="7" t="str">
        <f t="shared" si="1"/>
        <v>QB</v>
      </c>
      <c r="M4" s="52">
        <f t="shared" si="2"/>
        <v>299.7</v>
      </c>
      <c r="N4" s="62">
        <f t="shared" si="3"/>
        <v>60</v>
      </c>
      <c r="O4" s="4">
        <v>0</v>
      </c>
      <c r="P4" s="11"/>
      <c r="Q4" s="59"/>
      <c r="R4" s="66">
        <f>M4/N4</f>
        <v>4.9950000000000001</v>
      </c>
      <c r="S4" s="5" t="s">
        <v>362</v>
      </c>
      <c r="T4" s="5" t="s">
        <v>0</v>
      </c>
      <c r="U4" s="5">
        <v>299.7</v>
      </c>
      <c r="V4" s="5">
        <v>60</v>
      </c>
    </row>
    <row r="5" spans="1:22" ht="15" thickBot="1" x14ac:dyDescent="0.4">
      <c r="A5" s="7" t="s">
        <v>1</v>
      </c>
      <c r="B5" s="7" t="s">
        <v>335</v>
      </c>
      <c r="C5" s="51">
        <v>58</v>
      </c>
      <c r="D5" s="50"/>
      <c r="F5" s="40"/>
      <c r="G5" s="16"/>
      <c r="H5" s="16"/>
      <c r="J5" s="45"/>
      <c r="K5" s="6" t="str">
        <f t="shared" si="0"/>
        <v>PEYTON MANNING</v>
      </c>
      <c r="L5" s="7" t="str">
        <f t="shared" si="1"/>
        <v>QB</v>
      </c>
      <c r="M5" s="52">
        <f t="shared" si="2"/>
        <v>297.8</v>
      </c>
      <c r="N5" s="62">
        <f t="shared" si="3"/>
        <v>58</v>
      </c>
      <c r="O5" s="4">
        <v>0</v>
      </c>
      <c r="P5" s="11"/>
      <c r="Q5" s="59"/>
      <c r="R5" s="66">
        <f>M5/N5</f>
        <v>5.13448275862069</v>
      </c>
      <c r="S5" s="5" t="s">
        <v>352</v>
      </c>
      <c r="T5" s="5" t="s">
        <v>0</v>
      </c>
      <c r="U5" s="5">
        <v>297.8</v>
      </c>
      <c r="V5" s="5">
        <v>58</v>
      </c>
    </row>
    <row r="6" spans="1:22" ht="16" thickBot="1" x14ac:dyDescent="0.4">
      <c r="A6" s="53" t="s">
        <v>1</v>
      </c>
      <c r="B6" s="7" t="s">
        <v>237</v>
      </c>
      <c r="C6" s="51">
        <v>48</v>
      </c>
      <c r="D6" s="50"/>
      <c r="F6" s="22" t="s">
        <v>20</v>
      </c>
      <c r="G6" s="14" t="s">
        <v>15</v>
      </c>
      <c r="H6" s="23" t="s">
        <v>16</v>
      </c>
      <c r="J6" s="45"/>
      <c r="K6" s="6" t="str">
        <f t="shared" si="0"/>
        <v>DREW BREES</v>
      </c>
      <c r="L6" s="7" t="str">
        <f t="shared" si="1"/>
        <v>QB</v>
      </c>
      <c r="M6" s="52">
        <f t="shared" si="2"/>
        <v>294.89999999999998</v>
      </c>
      <c r="N6" s="62">
        <f t="shared" si="3"/>
        <v>54</v>
      </c>
      <c r="O6" s="4">
        <v>0</v>
      </c>
      <c r="P6" s="11"/>
      <c r="Q6" s="59"/>
      <c r="R6" s="66">
        <f>M6/N6</f>
        <v>5.4611111111111104</v>
      </c>
      <c r="S6" s="5" t="s">
        <v>285</v>
      </c>
      <c r="T6" s="5" t="s">
        <v>0</v>
      </c>
      <c r="U6" s="5">
        <v>294.89999999999998</v>
      </c>
      <c r="V6" s="5">
        <v>54</v>
      </c>
    </row>
    <row r="7" spans="1:22" x14ac:dyDescent="0.35">
      <c r="A7" s="53" t="s">
        <v>3</v>
      </c>
      <c r="B7" s="7" t="s">
        <v>287</v>
      </c>
      <c r="C7" s="51">
        <v>2</v>
      </c>
      <c r="D7" s="50"/>
      <c r="F7" s="24" t="s">
        <v>0</v>
      </c>
      <c r="G7" s="64">
        <f>SUMPRODUCT(M2:M26,O2:O26)</f>
        <v>282.5</v>
      </c>
      <c r="H7" s="26">
        <f>SUMPRODUCT(N2:N26,O2:O26)</f>
        <v>38</v>
      </c>
      <c r="J7" s="45"/>
      <c r="K7" s="6" t="str">
        <f t="shared" si="0"/>
        <v>MATT RYAN</v>
      </c>
      <c r="L7" s="7" t="str">
        <f t="shared" si="1"/>
        <v>QB</v>
      </c>
      <c r="M7" s="52">
        <f t="shared" si="2"/>
        <v>282.5</v>
      </c>
      <c r="N7" s="62">
        <f t="shared" si="3"/>
        <v>38</v>
      </c>
      <c r="O7" s="4">
        <v>1</v>
      </c>
      <c r="P7" s="11"/>
      <c r="Q7" s="59"/>
      <c r="R7" s="66">
        <f>M7/N7</f>
        <v>7.4342105263157894</v>
      </c>
      <c r="S7" s="5" t="s">
        <v>341</v>
      </c>
      <c r="T7" s="5" t="s">
        <v>0</v>
      </c>
      <c r="U7" s="5">
        <v>282.5</v>
      </c>
      <c r="V7" s="5">
        <v>38</v>
      </c>
    </row>
    <row r="8" spans="1:22" x14ac:dyDescent="0.35">
      <c r="A8" s="53" t="s">
        <v>21</v>
      </c>
      <c r="B8" s="7" t="s">
        <v>282</v>
      </c>
      <c r="C8" s="51">
        <v>112</v>
      </c>
      <c r="D8" s="50"/>
      <c r="F8" s="24" t="s">
        <v>1</v>
      </c>
      <c r="G8" s="64">
        <f>SUMPRODUCT(M37:M76,O37:O76)</f>
        <v>337.2</v>
      </c>
      <c r="H8" s="26">
        <f>SUMPRODUCT(N37:N76,O37:O76)</f>
        <v>106</v>
      </c>
      <c r="J8" s="45"/>
      <c r="K8" s="6" t="str">
        <f t="shared" si="0"/>
        <v>CAM NEWTON</v>
      </c>
      <c r="L8" s="7" t="str">
        <f t="shared" si="1"/>
        <v>QB</v>
      </c>
      <c r="M8" s="52">
        <f t="shared" si="2"/>
        <v>273.10000000000002</v>
      </c>
      <c r="N8" s="62">
        <f t="shared" si="3"/>
        <v>29</v>
      </c>
      <c r="O8" s="4">
        <v>0</v>
      </c>
      <c r="P8" s="11"/>
      <c r="Q8" s="59"/>
      <c r="R8" s="66">
        <f>M8/N8</f>
        <v>9.4172413793103456</v>
      </c>
      <c r="S8" s="5" t="s">
        <v>262</v>
      </c>
      <c r="T8" s="5" t="s">
        <v>0</v>
      </c>
      <c r="U8" s="5">
        <v>273.10000000000002</v>
      </c>
      <c r="V8" s="5">
        <v>29</v>
      </c>
    </row>
    <row r="9" spans="1:22" x14ac:dyDescent="0.35">
      <c r="A9" s="53" t="s">
        <v>2</v>
      </c>
      <c r="B9" s="7" t="s">
        <v>346</v>
      </c>
      <c r="C9" s="51">
        <v>71</v>
      </c>
      <c r="D9" s="50"/>
      <c r="F9" s="24" t="s">
        <v>18</v>
      </c>
      <c r="G9" s="64">
        <f>SUMPRODUCT(M27:M35,O27:O35)</f>
        <v>229.5</v>
      </c>
      <c r="H9" s="26">
        <f>SUMPRODUCT(N27:N35,O27:O35)</f>
        <v>134</v>
      </c>
      <c r="J9" s="45"/>
      <c r="K9" s="6" t="str">
        <f t="shared" si="0"/>
        <v>BEN ROETHLISBERGER</v>
      </c>
      <c r="L9" s="7" t="str">
        <f t="shared" si="1"/>
        <v>QB</v>
      </c>
      <c r="M9" s="52">
        <f t="shared" si="2"/>
        <v>268.2</v>
      </c>
      <c r="N9" s="62">
        <f t="shared" si="3"/>
        <v>25</v>
      </c>
      <c r="O9" s="4">
        <v>0</v>
      </c>
      <c r="P9" s="11"/>
      <c r="Q9" s="59"/>
      <c r="R9" s="66">
        <f>M9/N9</f>
        <v>10.728</v>
      </c>
      <c r="S9" s="5" t="s">
        <v>251</v>
      </c>
      <c r="T9" s="5" t="s">
        <v>0</v>
      </c>
      <c r="U9" s="5">
        <v>268.2</v>
      </c>
      <c r="V9" s="5">
        <v>25</v>
      </c>
    </row>
    <row r="10" spans="1:22" x14ac:dyDescent="0.35">
      <c r="A10" s="54" t="s">
        <v>4</v>
      </c>
      <c r="B10" s="55" t="s">
        <v>151</v>
      </c>
      <c r="C10" s="56">
        <v>4.0249999999999995</v>
      </c>
      <c r="D10" s="57"/>
      <c r="F10" s="24" t="s">
        <v>2</v>
      </c>
      <c r="G10" s="64">
        <f>SUMPRODUCT(M103:M153,O103:O153)</f>
        <v>166.3</v>
      </c>
      <c r="H10" s="26">
        <f>SUMPRODUCT(N103:N153,O103:O153)</f>
        <v>71</v>
      </c>
      <c r="J10" s="45"/>
      <c r="K10" s="6" t="str">
        <f t="shared" si="0"/>
        <v>TONY ROMO</v>
      </c>
      <c r="L10" s="7" t="str">
        <f t="shared" si="1"/>
        <v>QB</v>
      </c>
      <c r="M10" s="52">
        <f t="shared" si="2"/>
        <v>268.10000000000002</v>
      </c>
      <c r="N10" s="62">
        <f t="shared" si="3"/>
        <v>25</v>
      </c>
      <c r="O10" s="4">
        <v>0</v>
      </c>
      <c r="P10" s="11"/>
      <c r="Q10" s="59"/>
      <c r="R10" s="66">
        <f>M10/N10</f>
        <v>10.724</v>
      </c>
      <c r="S10" s="5" t="s">
        <v>376</v>
      </c>
      <c r="T10" s="5" t="s">
        <v>0</v>
      </c>
      <c r="U10" s="5">
        <v>268.10000000000002</v>
      </c>
      <c r="V10" s="5">
        <v>25</v>
      </c>
    </row>
    <row r="11" spans="1:22" x14ac:dyDescent="0.35">
      <c r="A11" s="54" t="s">
        <v>5</v>
      </c>
      <c r="B11" s="55" t="s">
        <v>159</v>
      </c>
      <c r="C11" s="56">
        <v>2.875</v>
      </c>
      <c r="D11" s="57"/>
      <c r="F11" s="24" t="s">
        <v>21</v>
      </c>
      <c r="G11" s="64">
        <f>SUMPRODUCT(M96:M99,O96:O99)</f>
        <v>199.3</v>
      </c>
      <c r="H11" s="26">
        <f>SUMPRODUCT(N96:N99,O96:O99)</f>
        <v>112</v>
      </c>
      <c r="J11" s="45"/>
      <c r="K11" s="6" t="str">
        <f t="shared" si="0"/>
        <v>MATTHEW STAFFORD</v>
      </c>
      <c r="L11" s="7" t="str">
        <f t="shared" si="1"/>
        <v>QB</v>
      </c>
      <c r="M11" s="52">
        <f t="shared" si="2"/>
        <v>266.3</v>
      </c>
      <c r="N11" s="62">
        <f t="shared" si="3"/>
        <v>23</v>
      </c>
      <c r="O11" s="4">
        <v>0</v>
      </c>
      <c r="P11" s="11"/>
      <c r="Q11" s="59"/>
      <c r="R11" s="66">
        <f>M11/N11</f>
        <v>11.578260869565218</v>
      </c>
      <c r="S11" s="5" t="s">
        <v>342</v>
      </c>
      <c r="T11" s="5" t="s">
        <v>0</v>
      </c>
      <c r="U11" s="5">
        <v>266.3</v>
      </c>
      <c r="V11" s="5">
        <v>23</v>
      </c>
    </row>
    <row r="12" spans="1:22" x14ac:dyDescent="0.35">
      <c r="C12" s="51"/>
      <c r="D12" s="50"/>
      <c r="F12" s="24" t="s">
        <v>3</v>
      </c>
      <c r="G12" s="64">
        <f>SUMPRODUCT(M77:M95,O77:O95)</f>
        <v>88.1</v>
      </c>
      <c r="H12" s="26">
        <f>SUMPRODUCT(N77:N95,O77:O95)</f>
        <v>2</v>
      </c>
      <c r="J12" s="45"/>
      <c r="K12" s="6" t="str">
        <f t="shared" si="0"/>
        <v>RYAN TANNEHILL</v>
      </c>
      <c r="L12" s="7" t="str">
        <f t="shared" si="1"/>
        <v>QB</v>
      </c>
      <c r="M12" s="52">
        <f t="shared" si="2"/>
        <v>262.7</v>
      </c>
      <c r="N12" s="62">
        <f t="shared" si="3"/>
        <v>19</v>
      </c>
      <c r="O12" s="4">
        <v>0</v>
      </c>
      <c r="P12" s="11"/>
      <c r="Q12" s="59"/>
      <c r="R12" s="66">
        <f>M12/N12</f>
        <v>13.826315789473684</v>
      </c>
      <c r="S12" s="5" t="s">
        <v>364</v>
      </c>
      <c r="T12" s="5" t="s">
        <v>0</v>
      </c>
      <c r="U12" s="5">
        <v>262.7</v>
      </c>
      <c r="V12" s="5">
        <v>19</v>
      </c>
    </row>
    <row r="13" spans="1:22" x14ac:dyDescent="0.35">
      <c r="C13" s="51"/>
      <c r="D13" s="50"/>
      <c r="F13" s="24" t="s">
        <v>4</v>
      </c>
      <c r="G13" s="64">
        <f>SUMPRODUCT(M154:M180,O154:O180)</f>
        <v>155</v>
      </c>
      <c r="H13" s="26">
        <f>SUMPRODUCT(N154:N180,O154:O180)</f>
        <v>4.0249999999999995</v>
      </c>
      <c r="J13" s="45"/>
      <c r="K13" s="6" t="str">
        <f t="shared" si="0"/>
        <v>PHILIP RIVERS</v>
      </c>
      <c r="L13" s="7" t="str">
        <f t="shared" si="1"/>
        <v>QB</v>
      </c>
      <c r="M13" s="52">
        <f t="shared" si="2"/>
        <v>258</v>
      </c>
      <c r="N13" s="62">
        <f t="shared" si="3"/>
        <v>15</v>
      </c>
      <c r="O13" s="4">
        <v>0</v>
      </c>
      <c r="P13" s="11"/>
      <c r="Q13" s="59"/>
      <c r="R13" s="66">
        <f>M13/N13</f>
        <v>17.2</v>
      </c>
      <c r="S13" s="5" t="s">
        <v>353</v>
      </c>
      <c r="T13" s="5" t="s">
        <v>0</v>
      </c>
      <c r="U13" s="5">
        <v>258</v>
      </c>
      <c r="V13" s="5">
        <v>15</v>
      </c>
    </row>
    <row r="14" spans="1:22" ht="15" thickBot="1" x14ac:dyDescent="0.4">
      <c r="C14" s="51"/>
      <c r="D14" s="50"/>
      <c r="F14" s="24" t="s">
        <v>5</v>
      </c>
      <c r="G14" s="64">
        <f>SUMPRODUCT(M181:M197,O181:O197)</f>
        <v>151.5</v>
      </c>
      <c r="H14" s="26">
        <f>SUMPRODUCT(N181:N197,O181:O197)</f>
        <v>2.875</v>
      </c>
      <c r="J14" s="45"/>
      <c r="K14" s="6" t="str">
        <f t="shared" si="0"/>
        <v>ELI MANNING</v>
      </c>
      <c r="L14" s="7" t="str">
        <f t="shared" si="1"/>
        <v>QB</v>
      </c>
      <c r="M14" s="52">
        <f t="shared" si="2"/>
        <v>254</v>
      </c>
      <c r="N14" s="62">
        <f t="shared" si="3"/>
        <v>12</v>
      </c>
      <c r="O14" s="4">
        <v>0</v>
      </c>
      <c r="P14" s="11"/>
      <c r="Q14" s="59"/>
      <c r="R14" s="66">
        <f>M14/N14</f>
        <v>21.166666666666668</v>
      </c>
      <c r="S14" s="5" t="s">
        <v>291</v>
      </c>
      <c r="T14" s="5" t="s">
        <v>0</v>
      </c>
      <c r="U14" s="5">
        <v>254</v>
      </c>
      <c r="V14" s="5">
        <v>12</v>
      </c>
    </row>
    <row r="15" spans="1:22" ht="16" thickBot="1" x14ac:dyDescent="0.4">
      <c r="C15" s="51"/>
      <c r="D15" s="50"/>
      <c r="F15" s="41" t="s">
        <v>179</v>
      </c>
      <c r="G15" s="42">
        <f>SUM(G7:G14)</f>
        <v>1609.3999999999999</v>
      </c>
      <c r="H15" s="15">
        <f>SUM(H7:H14)</f>
        <v>469.9</v>
      </c>
      <c r="J15" s="45"/>
      <c r="K15" s="6" t="str">
        <f t="shared" si="0"/>
        <v>COLIN KAEPERNICK</v>
      </c>
      <c r="L15" s="7" t="str">
        <f t="shared" si="1"/>
        <v>QB</v>
      </c>
      <c r="M15" s="52">
        <f t="shared" si="2"/>
        <v>251.3</v>
      </c>
      <c r="N15" s="62">
        <f t="shared" si="3"/>
        <v>11</v>
      </c>
      <c r="O15" s="4">
        <v>0</v>
      </c>
      <c r="P15" s="11"/>
      <c r="Q15" s="59"/>
      <c r="R15" s="66">
        <f>M15/N15</f>
        <v>22.845454545454547</v>
      </c>
      <c r="S15" s="5" t="s">
        <v>269</v>
      </c>
      <c r="T15" s="5" t="s">
        <v>0</v>
      </c>
      <c r="U15" s="5">
        <v>251.3</v>
      </c>
      <c r="V15" s="5">
        <v>11</v>
      </c>
    </row>
    <row r="16" spans="1:22" ht="15" thickBot="1" x14ac:dyDescent="0.4">
      <c r="C16" s="51"/>
      <c r="D16" s="50"/>
      <c r="F16" s="16"/>
      <c r="G16" s="16"/>
      <c r="H16" s="16"/>
      <c r="J16" s="45"/>
      <c r="K16" s="6" t="str">
        <f t="shared" si="0"/>
        <v>JOE FLACCO</v>
      </c>
      <c r="L16" s="7" t="str">
        <f t="shared" si="1"/>
        <v>QB</v>
      </c>
      <c r="M16" s="52">
        <f t="shared" si="2"/>
        <v>244.4</v>
      </c>
      <c r="N16" s="62">
        <f t="shared" si="3"/>
        <v>6</v>
      </c>
      <c r="O16" s="4">
        <v>0</v>
      </c>
      <c r="P16" s="11"/>
      <c r="Q16" s="59"/>
      <c r="R16" s="66">
        <f>M16/N16</f>
        <v>40.733333333333334</v>
      </c>
      <c r="S16" s="5" t="s">
        <v>308</v>
      </c>
      <c r="T16" s="5" t="s">
        <v>0</v>
      </c>
      <c r="U16" s="5">
        <v>244.4</v>
      </c>
      <c r="V16" s="5">
        <v>6</v>
      </c>
    </row>
    <row r="17" spans="1:22" ht="16" thickBot="1" x14ac:dyDescent="0.4">
      <c r="C17" s="51"/>
      <c r="D17" s="50"/>
      <c r="F17" s="22" t="s">
        <v>20</v>
      </c>
      <c r="G17" s="14" t="s">
        <v>17</v>
      </c>
      <c r="H17" s="23" t="s">
        <v>7</v>
      </c>
      <c r="J17" s="45"/>
      <c r="K17" s="6" t="str">
        <f t="shared" si="0"/>
        <v>JAY CUTLER</v>
      </c>
      <c r="L17" s="7" t="str">
        <f t="shared" si="1"/>
        <v>QB</v>
      </c>
      <c r="M17" s="52">
        <f t="shared" si="2"/>
        <v>242.5</v>
      </c>
      <c r="N17" s="62">
        <f t="shared" si="3"/>
        <v>5</v>
      </c>
      <c r="O17" s="4">
        <v>0</v>
      </c>
      <c r="P17" s="11"/>
      <c r="Q17" s="59"/>
      <c r="R17" s="66">
        <f>M17/N17</f>
        <v>48.5</v>
      </c>
      <c r="S17" s="5" t="s">
        <v>304</v>
      </c>
      <c r="T17" s="5" t="s">
        <v>0</v>
      </c>
      <c r="U17" s="5">
        <v>242.5</v>
      </c>
      <c r="V17" s="5">
        <v>5</v>
      </c>
    </row>
    <row r="18" spans="1:22" x14ac:dyDescent="0.35">
      <c r="C18" s="51"/>
      <c r="D18" s="50"/>
      <c r="F18" s="24" t="s">
        <v>0</v>
      </c>
      <c r="G18" s="25">
        <f>SUM(O2:O26)</f>
        <v>1</v>
      </c>
      <c r="H18" s="26">
        <v>1</v>
      </c>
      <c r="J18" s="45"/>
      <c r="K18" s="6" t="str">
        <f t="shared" si="0"/>
        <v>TEDDY BRIDGEWATER</v>
      </c>
      <c r="L18" s="7" t="str">
        <f t="shared" si="1"/>
        <v>QB</v>
      </c>
      <c r="M18" s="52">
        <f t="shared" si="2"/>
        <v>239.4</v>
      </c>
      <c r="N18" s="62">
        <f t="shared" si="3"/>
        <v>3</v>
      </c>
      <c r="O18" s="4">
        <v>0</v>
      </c>
      <c r="P18" s="11"/>
      <c r="Q18" s="59"/>
      <c r="R18" s="66">
        <f>M18/N18</f>
        <v>79.8</v>
      </c>
      <c r="S18" s="5" t="s">
        <v>371</v>
      </c>
      <c r="T18" s="5" t="s">
        <v>0</v>
      </c>
      <c r="U18" s="5">
        <v>239.4</v>
      </c>
      <c r="V18" s="5">
        <v>3</v>
      </c>
    </row>
    <row r="19" spans="1:22" x14ac:dyDescent="0.35">
      <c r="C19" s="51"/>
      <c r="D19" s="49"/>
      <c r="F19" s="24" t="s">
        <v>1</v>
      </c>
      <c r="G19" s="25">
        <f>SUM(O27:O76)</f>
        <v>3</v>
      </c>
      <c r="H19" s="26">
        <v>1</v>
      </c>
      <c r="J19" s="45"/>
      <c r="K19" s="6" t="str">
        <f t="shared" si="0"/>
        <v>CARSON PALMER</v>
      </c>
      <c r="L19" s="7" t="str">
        <f t="shared" si="1"/>
        <v>QB</v>
      </c>
      <c r="M19" s="52">
        <f t="shared" si="2"/>
        <v>232.8</v>
      </c>
      <c r="N19" s="62">
        <f t="shared" si="3"/>
        <v>1</v>
      </c>
      <c r="O19" s="4">
        <v>0</v>
      </c>
      <c r="P19" s="11"/>
      <c r="Q19" s="59"/>
      <c r="R19" s="66">
        <f>M19/N19</f>
        <v>232.8</v>
      </c>
      <c r="S19" s="5" t="s">
        <v>264</v>
      </c>
      <c r="T19" s="5" t="s">
        <v>0</v>
      </c>
      <c r="U19" s="5">
        <v>232.8</v>
      </c>
      <c r="V19" s="5">
        <v>1</v>
      </c>
    </row>
    <row r="20" spans="1:22" x14ac:dyDescent="0.35">
      <c r="F20" s="24" t="s">
        <v>18</v>
      </c>
      <c r="G20" s="25">
        <f>SUM(O27:O35)</f>
        <v>1</v>
      </c>
      <c r="H20" s="26">
        <v>1</v>
      </c>
      <c r="J20" s="45"/>
      <c r="K20" s="6" t="str">
        <f t="shared" si="0"/>
        <v>SAM BRADFORD</v>
      </c>
      <c r="L20" s="7" t="str">
        <f t="shared" si="1"/>
        <v>QB</v>
      </c>
      <c r="M20" s="52">
        <f t="shared" si="2"/>
        <v>232</v>
      </c>
      <c r="N20" s="62">
        <f t="shared" si="3"/>
        <v>1</v>
      </c>
      <c r="O20" s="4">
        <v>0</v>
      </c>
      <c r="P20" s="11"/>
      <c r="Q20" s="59"/>
      <c r="R20" s="66">
        <f>M20/N20</f>
        <v>232</v>
      </c>
      <c r="S20" s="5" t="s">
        <v>365</v>
      </c>
      <c r="T20" s="5" t="s">
        <v>0</v>
      </c>
      <c r="U20" s="5">
        <v>232</v>
      </c>
      <c r="V20" s="5">
        <v>1</v>
      </c>
    </row>
    <row r="21" spans="1:22" ht="15" thickBot="1" x14ac:dyDescent="0.4">
      <c r="F21" s="24" t="s">
        <v>2</v>
      </c>
      <c r="G21" s="25">
        <f>SUM(O96:O153)</f>
        <v>2</v>
      </c>
      <c r="H21" s="26">
        <v>1</v>
      </c>
      <c r="J21" s="45"/>
      <c r="K21" s="6" t="str">
        <f t="shared" si="0"/>
        <v>ALEX SMITH</v>
      </c>
      <c r="L21" s="7" t="str">
        <f t="shared" si="1"/>
        <v>QB</v>
      </c>
      <c r="M21" s="52">
        <f t="shared" si="2"/>
        <v>230</v>
      </c>
      <c r="N21" s="62">
        <f t="shared" si="3"/>
        <v>1</v>
      </c>
      <c r="O21" s="4">
        <v>0</v>
      </c>
      <c r="P21" s="11"/>
      <c r="Q21" s="59"/>
      <c r="R21" s="66">
        <f>M21/N21</f>
        <v>230</v>
      </c>
      <c r="S21" s="5" t="s">
        <v>235</v>
      </c>
      <c r="T21" s="5" t="s">
        <v>0</v>
      </c>
      <c r="U21" s="5">
        <v>230</v>
      </c>
      <c r="V21" s="5">
        <v>1</v>
      </c>
    </row>
    <row r="22" spans="1:22" ht="22" thickTop="1" thickBot="1" x14ac:dyDescent="0.55000000000000004">
      <c r="A22" s="68" t="s">
        <v>175</v>
      </c>
      <c r="B22" s="68"/>
      <c r="C22" s="68"/>
      <c r="D22" s="68"/>
      <c r="F22" s="24" t="s">
        <v>21</v>
      </c>
      <c r="G22" s="25">
        <f>SUM(O96:O99)</f>
        <v>1</v>
      </c>
      <c r="H22" s="26">
        <v>1</v>
      </c>
      <c r="J22" s="45"/>
      <c r="K22" s="6" t="str">
        <f t="shared" si="0"/>
        <v>ANDY DALTON</v>
      </c>
      <c r="L22" s="7" t="str">
        <f t="shared" si="1"/>
        <v>QB</v>
      </c>
      <c r="M22" s="52">
        <f t="shared" si="2"/>
        <v>221.4</v>
      </c>
      <c r="N22" s="62">
        <f t="shared" si="3"/>
        <v>1</v>
      </c>
      <c r="O22" s="4">
        <v>0</v>
      </c>
      <c r="P22" s="11"/>
      <c r="Q22" s="59"/>
      <c r="R22" s="66">
        <f>M22/N22</f>
        <v>221.4</v>
      </c>
      <c r="S22" s="5" t="s">
        <v>245</v>
      </c>
      <c r="T22" s="5" t="s">
        <v>0</v>
      </c>
      <c r="U22" s="5">
        <v>221.4</v>
      </c>
      <c r="V22" s="5">
        <v>1</v>
      </c>
    </row>
    <row r="23" spans="1:22" ht="15" thickTop="1" x14ac:dyDescent="0.35">
      <c r="A23" s="48" t="s">
        <v>6</v>
      </c>
      <c r="B23" s="48" t="s">
        <v>10</v>
      </c>
      <c r="C23" s="48" t="s">
        <v>11</v>
      </c>
      <c r="D23" s="48" t="s">
        <v>177</v>
      </c>
      <c r="F23" s="24" t="s">
        <v>3</v>
      </c>
      <c r="G23" s="25">
        <f>SUM(O77:O95)</f>
        <v>1</v>
      </c>
      <c r="H23" s="26">
        <v>1</v>
      </c>
      <c r="J23" s="45"/>
      <c r="K23" s="6" t="str">
        <f t="shared" si="0"/>
        <v>MARCUS MARIOTA</v>
      </c>
      <c r="L23" s="7" t="str">
        <f t="shared" si="1"/>
        <v>QB</v>
      </c>
      <c r="M23" s="52">
        <f t="shared" si="2"/>
        <v>220.2</v>
      </c>
      <c r="N23" s="62">
        <f t="shared" si="3"/>
        <v>1</v>
      </c>
      <c r="O23" s="4">
        <v>0</v>
      </c>
      <c r="P23" s="11"/>
      <c r="Q23" s="59"/>
      <c r="R23" s="66">
        <f>M23/N23</f>
        <v>220.2</v>
      </c>
      <c r="S23" s="5" t="s">
        <v>334</v>
      </c>
      <c r="T23" s="5" t="s">
        <v>0</v>
      </c>
      <c r="U23" s="5">
        <v>220.2</v>
      </c>
      <c r="V23" s="5">
        <v>1</v>
      </c>
    </row>
    <row r="24" spans="1:22" x14ac:dyDescent="0.35">
      <c r="A24" s="53"/>
      <c r="C24" s="51"/>
      <c r="D24" s="50"/>
      <c r="F24" s="24" t="s">
        <v>4</v>
      </c>
      <c r="G24" s="25">
        <f>SUM(O154:O180)</f>
        <v>1</v>
      </c>
      <c r="H24" s="26">
        <f>1-H37</f>
        <v>1</v>
      </c>
      <c r="J24" s="45"/>
      <c r="K24" s="6" t="str">
        <f t="shared" si="0"/>
        <v>TOM BRADY</v>
      </c>
      <c r="L24" s="7" t="str">
        <f t="shared" si="1"/>
        <v>QB</v>
      </c>
      <c r="M24" s="52">
        <f t="shared" si="2"/>
        <v>215.9</v>
      </c>
      <c r="N24" s="62">
        <f t="shared" si="3"/>
        <v>9</v>
      </c>
      <c r="O24" s="4">
        <v>0</v>
      </c>
      <c r="P24" s="11"/>
      <c r="Q24" s="59"/>
      <c r="R24" s="66">
        <f>M24/N24</f>
        <v>23.988888888888891</v>
      </c>
      <c r="S24" s="5" t="s">
        <v>375</v>
      </c>
      <c r="T24" s="5" t="s">
        <v>0</v>
      </c>
      <c r="U24" s="5">
        <v>215.9</v>
      </c>
      <c r="V24" s="5">
        <v>9</v>
      </c>
    </row>
    <row r="25" spans="1:22" ht="15" thickBot="1" x14ac:dyDescent="0.4">
      <c r="A25" s="53"/>
      <c r="C25" s="51"/>
      <c r="D25" s="50"/>
      <c r="F25" s="24" t="s">
        <v>5</v>
      </c>
      <c r="G25" s="25">
        <f>SUM(O181:O197)</f>
        <v>1</v>
      </c>
      <c r="H25" s="26">
        <f>1-H36</f>
        <v>1</v>
      </c>
      <c r="J25" s="45"/>
      <c r="K25" s="6" t="str">
        <f t="shared" si="0"/>
        <v>JAMEIS WINSTON</v>
      </c>
      <c r="L25" s="7" t="str">
        <f t="shared" si="1"/>
        <v>QB</v>
      </c>
      <c r="M25" s="52">
        <f t="shared" si="2"/>
        <v>215.3</v>
      </c>
      <c r="N25" s="62">
        <f t="shared" si="3"/>
        <v>1</v>
      </c>
      <c r="O25" s="4">
        <v>0</v>
      </c>
      <c r="P25" s="11"/>
      <c r="Q25" s="59"/>
      <c r="R25" s="66">
        <f>M25/N25</f>
        <v>215.3</v>
      </c>
      <c r="S25" s="5" t="s">
        <v>301</v>
      </c>
      <c r="T25" s="5" t="s">
        <v>0</v>
      </c>
      <c r="U25" s="5">
        <v>215.3</v>
      </c>
      <c r="V25" s="5">
        <v>1</v>
      </c>
    </row>
    <row r="26" spans="1:22" ht="15" thickBot="1" x14ac:dyDescent="0.4">
      <c r="F26" s="27" t="s">
        <v>19</v>
      </c>
      <c r="G26" s="28">
        <f>SUM(G18,G19,G21,G23,G24,G25)</f>
        <v>9</v>
      </c>
      <c r="H26" s="29"/>
      <c r="J26" s="45"/>
      <c r="K26" s="6" t="str">
        <f t="shared" si="0"/>
        <v>BLAKE BORTLES</v>
      </c>
      <c r="L26" s="7" t="str">
        <f t="shared" si="1"/>
        <v>QB</v>
      </c>
      <c r="M26" s="52">
        <f t="shared" si="2"/>
        <v>207.5</v>
      </c>
      <c r="N26" s="62">
        <f t="shared" si="3"/>
        <v>1</v>
      </c>
      <c r="O26" s="4">
        <v>0</v>
      </c>
      <c r="P26" s="11"/>
      <c r="Q26" s="59"/>
      <c r="R26" s="66">
        <f>M26/N26</f>
        <v>207.5</v>
      </c>
      <c r="S26" s="5" t="s">
        <v>253</v>
      </c>
      <c r="T26" s="5" t="s">
        <v>0</v>
      </c>
      <c r="U26" s="5">
        <v>207.5</v>
      </c>
      <c r="V26" s="5">
        <v>1</v>
      </c>
    </row>
    <row r="27" spans="1:22" x14ac:dyDescent="0.35">
      <c r="F27" s="16"/>
      <c r="G27" s="16"/>
      <c r="H27" s="16"/>
      <c r="J27" s="45"/>
      <c r="K27" s="6" t="str">
        <f t="shared" si="0"/>
        <v>JAMAAL CHARLES</v>
      </c>
      <c r="L27" s="7" t="str">
        <f t="shared" si="1"/>
        <v>RBX</v>
      </c>
      <c r="M27" s="52">
        <f t="shared" si="2"/>
        <v>229.8</v>
      </c>
      <c r="N27" s="62">
        <f t="shared" si="3"/>
        <v>151</v>
      </c>
      <c r="O27" s="4">
        <v>0</v>
      </c>
      <c r="P27" s="11"/>
      <c r="Q27" s="59"/>
      <c r="R27" s="66">
        <f>M27/N27</f>
        <v>1.5218543046357618</v>
      </c>
      <c r="S27" s="5" t="s">
        <v>300</v>
      </c>
      <c r="T27" s="5" t="s">
        <v>18</v>
      </c>
      <c r="U27" s="5">
        <v>229.8</v>
      </c>
      <c r="V27" s="5">
        <v>151</v>
      </c>
    </row>
    <row r="28" spans="1:22" ht="15" thickBot="1" x14ac:dyDescent="0.4">
      <c r="F28" s="16"/>
      <c r="G28" s="16"/>
      <c r="H28" s="16"/>
      <c r="J28" s="45"/>
      <c r="K28" s="6" t="str">
        <f t="shared" si="0"/>
        <v>MARSHAWN LYNCH</v>
      </c>
      <c r="L28" s="7" t="str">
        <f t="shared" si="1"/>
        <v>RBX</v>
      </c>
      <c r="M28" s="52">
        <f t="shared" si="2"/>
        <v>229.5</v>
      </c>
      <c r="N28" s="62">
        <f t="shared" si="3"/>
        <v>134</v>
      </c>
      <c r="O28" s="4">
        <v>1</v>
      </c>
      <c r="P28" s="11"/>
      <c r="Q28" s="59"/>
      <c r="R28" s="66">
        <f>M28/N28</f>
        <v>1.7126865671641791</v>
      </c>
      <c r="S28" s="5" t="s">
        <v>337</v>
      </c>
      <c r="T28" s="5" t="s">
        <v>18</v>
      </c>
      <c r="U28" s="5">
        <v>229.5</v>
      </c>
      <c r="V28" s="5">
        <v>134</v>
      </c>
    </row>
    <row r="29" spans="1:22" ht="15" thickBot="1" x14ac:dyDescent="0.4">
      <c r="F29" s="30" t="s">
        <v>6</v>
      </c>
      <c r="G29" s="31" t="s">
        <v>8</v>
      </c>
      <c r="H29" s="32" t="s">
        <v>176</v>
      </c>
      <c r="J29" s="45"/>
      <c r="K29" s="6" t="str">
        <f t="shared" si="0"/>
        <v>EDDIE LACY</v>
      </c>
      <c r="L29" s="7" t="str">
        <f t="shared" si="1"/>
        <v>RBX</v>
      </c>
      <c r="M29" s="52">
        <f t="shared" si="2"/>
        <v>227.5</v>
      </c>
      <c r="N29" s="62">
        <f t="shared" si="3"/>
        <v>141</v>
      </c>
      <c r="O29" s="4">
        <v>0</v>
      </c>
      <c r="P29" s="11"/>
      <c r="Q29" s="59"/>
      <c r="R29" s="66">
        <f>M29/N29</f>
        <v>1.6134751773049645</v>
      </c>
      <c r="S29" s="5" t="s">
        <v>289</v>
      </c>
      <c r="T29" s="5" t="s">
        <v>18</v>
      </c>
      <c r="U29" s="5">
        <v>227.5</v>
      </c>
      <c r="V29" s="5">
        <v>141</v>
      </c>
    </row>
    <row r="30" spans="1:22" x14ac:dyDescent="0.35">
      <c r="F30" s="33" t="s">
        <v>0</v>
      </c>
      <c r="G30" s="34">
        <f>1-H30</f>
        <v>1</v>
      </c>
      <c r="H30" s="34">
        <v>0</v>
      </c>
      <c r="J30" s="45"/>
      <c r="K30" s="6" t="str">
        <f t="shared" si="0"/>
        <v>ADRIAN PETERSON</v>
      </c>
      <c r="L30" s="7" t="str">
        <f t="shared" si="1"/>
        <v>RBX</v>
      </c>
      <c r="M30" s="52">
        <f t="shared" si="2"/>
        <v>226.4</v>
      </c>
      <c r="N30" s="62">
        <f t="shared" si="3"/>
        <v>137</v>
      </c>
      <c r="O30" s="4">
        <v>0</v>
      </c>
      <c r="P30" s="11"/>
      <c r="Q30" s="59"/>
      <c r="R30" s="66">
        <f>M30/N30</f>
        <v>1.6525547445255475</v>
      </c>
      <c r="S30" s="5" t="s">
        <v>234</v>
      </c>
      <c r="T30" s="5" t="s">
        <v>18</v>
      </c>
      <c r="U30" s="5">
        <v>226.4</v>
      </c>
      <c r="V30" s="5">
        <v>137</v>
      </c>
    </row>
    <row r="31" spans="1:22" x14ac:dyDescent="0.35">
      <c r="F31" s="35" t="s">
        <v>1</v>
      </c>
      <c r="G31" s="36">
        <f>3-H31-H32</f>
        <v>3</v>
      </c>
      <c r="H31" s="36">
        <f t="shared" ref="H30:H37" si="4">COUNTIF($A$24:$A$71,F31)</f>
        <v>0</v>
      </c>
      <c r="J31" s="45"/>
      <c r="K31" s="6" t="str">
        <f t="shared" si="0"/>
        <v>LE'VEON BELL</v>
      </c>
      <c r="L31" s="7" t="str">
        <f t="shared" si="1"/>
        <v>RBX</v>
      </c>
      <c r="M31" s="52">
        <f t="shared" si="2"/>
        <v>218.1</v>
      </c>
      <c r="N31" s="62">
        <f t="shared" si="3"/>
        <v>170</v>
      </c>
      <c r="O31" s="4">
        <v>0</v>
      </c>
      <c r="P31" s="11"/>
      <c r="Q31" s="59"/>
      <c r="R31" s="66">
        <f>M31/N31</f>
        <v>1.2829411764705883</v>
      </c>
      <c r="S31" s="5" t="s">
        <v>329</v>
      </c>
      <c r="T31" s="5" t="s">
        <v>18</v>
      </c>
      <c r="U31" s="5">
        <v>218.1</v>
      </c>
      <c r="V31" s="5">
        <v>170</v>
      </c>
    </row>
    <row r="32" spans="1:22" x14ac:dyDescent="0.35">
      <c r="F32" s="35" t="s">
        <v>18</v>
      </c>
      <c r="G32" s="36">
        <f>2-H32</f>
        <v>2</v>
      </c>
      <c r="H32" s="36">
        <f t="shared" si="4"/>
        <v>0</v>
      </c>
      <c r="J32" s="45"/>
      <c r="K32" s="6" t="str">
        <f t="shared" si="0"/>
        <v>MATT FORTE</v>
      </c>
      <c r="L32" s="7" t="str">
        <f t="shared" si="1"/>
        <v>RBX</v>
      </c>
      <c r="M32" s="52">
        <f t="shared" si="2"/>
        <v>214.6</v>
      </c>
      <c r="N32" s="62">
        <f t="shared" si="3"/>
        <v>154</v>
      </c>
      <c r="O32" s="4">
        <v>0</v>
      </c>
      <c r="P32" s="11"/>
      <c r="Q32" s="59"/>
      <c r="R32" s="66">
        <f>M32/N32</f>
        <v>1.3935064935064934</v>
      </c>
      <c r="S32" s="5" t="s">
        <v>340</v>
      </c>
      <c r="T32" s="5" t="s">
        <v>18</v>
      </c>
      <c r="U32" s="5">
        <v>214.6</v>
      </c>
      <c r="V32" s="5">
        <v>154</v>
      </c>
    </row>
    <row r="33" spans="6:22" x14ac:dyDescent="0.35">
      <c r="F33" s="35" t="s">
        <v>2</v>
      </c>
      <c r="G33" s="36">
        <f>2-H33-H34</f>
        <v>2</v>
      </c>
      <c r="H33" s="36">
        <f t="shared" si="4"/>
        <v>0</v>
      </c>
      <c r="J33" s="45"/>
      <c r="K33" s="6" t="str">
        <f t="shared" si="0"/>
        <v>C.J. ANDERSON</v>
      </c>
      <c r="L33" s="7" t="str">
        <f t="shared" si="1"/>
        <v>RBX</v>
      </c>
      <c r="M33" s="52">
        <f t="shared" si="2"/>
        <v>209.2</v>
      </c>
      <c r="N33" s="62">
        <f t="shared" si="3"/>
        <v>119</v>
      </c>
      <c r="O33" s="4">
        <v>0</v>
      </c>
      <c r="P33" s="11"/>
      <c r="Q33" s="59"/>
      <c r="R33" s="66">
        <f>M33/N33</f>
        <v>1.7579831932773109</v>
      </c>
      <c r="S33" s="5" t="s">
        <v>259</v>
      </c>
      <c r="T33" s="5" t="s">
        <v>18</v>
      </c>
      <c r="U33" s="5">
        <v>209.2</v>
      </c>
      <c r="V33" s="5">
        <v>119</v>
      </c>
    </row>
    <row r="34" spans="6:22" x14ac:dyDescent="0.35">
      <c r="F34" s="35" t="s">
        <v>21</v>
      </c>
      <c r="G34" s="36">
        <f>2-H34</f>
        <v>2</v>
      </c>
      <c r="H34" s="36">
        <f t="shared" si="4"/>
        <v>0</v>
      </c>
      <c r="J34" s="45"/>
      <c r="K34" s="6" t="str">
        <f t="shared" si="0"/>
        <v>DEMARCO MURRAY</v>
      </c>
      <c r="L34" s="7" t="str">
        <f t="shared" si="1"/>
        <v>RBX</v>
      </c>
      <c r="M34" s="52">
        <f t="shared" si="2"/>
        <v>195.9</v>
      </c>
      <c r="N34" s="62">
        <f t="shared" si="3"/>
        <v>95</v>
      </c>
      <c r="O34" s="4">
        <v>0</v>
      </c>
      <c r="P34" s="11"/>
      <c r="Q34" s="59"/>
      <c r="R34" s="66">
        <f>M34/N34</f>
        <v>2.0621052631578949</v>
      </c>
      <c r="S34" s="5" t="s">
        <v>277</v>
      </c>
      <c r="T34" s="5" t="s">
        <v>18</v>
      </c>
      <c r="U34" s="5">
        <v>195.9</v>
      </c>
      <c r="V34" s="5">
        <v>95</v>
      </c>
    </row>
    <row r="35" spans="6:22" x14ac:dyDescent="0.35">
      <c r="F35" s="35" t="s">
        <v>3</v>
      </c>
      <c r="G35" s="36">
        <f>2-H35</f>
        <v>2</v>
      </c>
      <c r="H35" s="36">
        <f t="shared" si="4"/>
        <v>0</v>
      </c>
      <c r="J35" s="45"/>
      <c r="K35" s="6" t="str">
        <f t="shared" si="0"/>
        <v>LESEAN MCCOY</v>
      </c>
      <c r="L35" s="7" t="str">
        <f t="shared" si="1"/>
        <v>RBX</v>
      </c>
      <c r="M35" s="52">
        <f t="shared" si="2"/>
        <v>194.9</v>
      </c>
      <c r="N35" s="62">
        <f t="shared" si="3"/>
        <v>89</v>
      </c>
      <c r="O35" s="4">
        <v>0</v>
      </c>
      <c r="P35" s="11"/>
      <c r="Q35" s="59"/>
      <c r="R35" s="66">
        <f>M35/N35</f>
        <v>2.1898876404494381</v>
      </c>
      <c r="S35" s="5" t="s">
        <v>331</v>
      </c>
      <c r="T35" s="5" t="s">
        <v>18</v>
      </c>
      <c r="U35" s="5">
        <v>194.9</v>
      </c>
      <c r="V35" s="5">
        <v>89</v>
      </c>
    </row>
    <row r="36" spans="6:22" x14ac:dyDescent="0.35">
      <c r="F36" s="35" t="s">
        <v>5</v>
      </c>
      <c r="G36" s="36">
        <f>1-H36</f>
        <v>1</v>
      </c>
      <c r="H36" s="36">
        <f t="shared" si="4"/>
        <v>0</v>
      </c>
      <c r="J36" s="45"/>
      <c r="K36" s="6" t="str">
        <f t="shared" si="0"/>
        <v>JEREMY HILL</v>
      </c>
      <c r="L36" s="7" t="str">
        <f t="shared" si="1"/>
        <v>RBX</v>
      </c>
      <c r="M36" s="52">
        <f t="shared" si="2"/>
        <v>193.3</v>
      </c>
      <c r="N36" s="62">
        <f t="shared" si="3"/>
        <v>81</v>
      </c>
      <c r="O36" s="4">
        <v>0</v>
      </c>
      <c r="P36" s="11"/>
      <c r="Q36" s="59"/>
      <c r="R36" s="66">
        <f>M36/N36</f>
        <v>2.38641975308642</v>
      </c>
      <c r="S36" s="5" t="s">
        <v>305</v>
      </c>
      <c r="T36" s="5" t="s">
        <v>18</v>
      </c>
      <c r="U36" s="5">
        <v>193.3</v>
      </c>
      <c r="V36" s="5">
        <v>81</v>
      </c>
    </row>
    <row r="37" spans="6:22" ht="15" thickBot="1" x14ac:dyDescent="0.4">
      <c r="F37" s="37" t="s">
        <v>4</v>
      </c>
      <c r="G37" s="38">
        <f>1-H37</f>
        <v>1</v>
      </c>
      <c r="H37" s="38">
        <f t="shared" si="4"/>
        <v>0</v>
      </c>
      <c r="J37" s="45"/>
      <c r="K37" s="6" t="str">
        <f t="shared" si="0"/>
        <v>JUSTIN FORSETT</v>
      </c>
      <c r="L37" s="7" t="str">
        <f t="shared" si="1"/>
        <v>RB</v>
      </c>
      <c r="M37" s="52">
        <f t="shared" si="2"/>
        <v>180.5</v>
      </c>
      <c r="N37" s="62">
        <f t="shared" si="3"/>
        <v>95</v>
      </c>
      <c r="O37" s="4">
        <v>0</v>
      </c>
      <c r="P37" s="11"/>
      <c r="Q37" s="59"/>
      <c r="R37" s="66">
        <f>M37/N37</f>
        <v>1.9</v>
      </c>
      <c r="S37" s="5" t="s">
        <v>319</v>
      </c>
      <c r="T37" s="5" t="s">
        <v>1</v>
      </c>
      <c r="U37" s="5">
        <v>180.5</v>
      </c>
      <c r="V37" s="5">
        <v>95</v>
      </c>
    </row>
    <row r="38" spans="6:22" ht="15" thickBot="1" x14ac:dyDescent="0.4">
      <c r="F38" s="14" t="s">
        <v>178</v>
      </c>
      <c r="G38" s="15">
        <f>9-H38</f>
        <v>9</v>
      </c>
      <c r="H38" s="39">
        <f>SUM(H30:H37)</f>
        <v>0</v>
      </c>
      <c r="J38" s="45"/>
      <c r="K38" s="6" t="str">
        <f t="shared" si="0"/>
        <v>LAMAR MILLER</v>
      </c>
      <c r="L38" s="7" t="str">
        <f t="shared" si="1"/>
        <v>RB</v>
      </c>
      <c r="M38" s="52">
        <f t="shared" si="2"/>
        <v>176.4</v>
      </c>
      <c r="N38" s="62">
        <f t="shared" si="3"/>
        <v>73</v>
      </c>
      <c r="O38" s="4">
        <v>0</v>
      </c>
      <c r="P38" s="11"/>
      <c r="Q38" s="59"/>
      <c r="R38" s="66">
        <f>M38/N38</f>
        <v>2.4164383561643836</v>
      </c>
      <c r="S38" s="5" t="s">
        <v>326</v>
      </c>
      <c r="T38" s="5" t="s">
        <v>1</v>
      </c>
      <c r="U38" s="5">
        <v>176.4</v>
      </c>
      <c r="V38" s="5">
        <v>73</v>
      </c>
    </row>
    <row r="39" spans="6:22" x14ac:dyDescent="0.35">
      <c r="F39" s="16"/>
      <c r="G39" s="16"/>
      <c r="H39" s="16"/>
      <c r="J39" s="45"/>
      <c r="K39" s="6" t="str">
        <f t="shared" si="0"/>
        <v>MARK INGRAM</v>
      </c>
      <c r="L39" s="7" t="str">
        <f t="shared" si="1"/>
        <v>RB</v>
      </c>
      <c r="M39" s="52">
        <f t="shared" si="2"/>
        <v>171.1</v>
      </c>
      <c r="N39" s="62">
        <f t="shared" si="3"/>
        <v>58</v>
      </c>
      <c r="O39" s="4">
        <v>1</v>
      </c>
      <c r="P39" s="11"/>
      <c r="Q39" s="59"/>
      <c r="R39" s="66">
        <f>M39/N39</f>
        <v>2.9499999999999997</v>
      </c>
      <c r="S39" s="5" t="s">
        <v>335</v>
      </c>
      <c r="T39" s="5" t="s">
        <v>1</v>
      </c>
      <c r="U39" s="5">
        <v>171.1</v>
      </c>
      <c r="V39" s="5">
        <v>58</v>
      </c>
    </row>
    <row r="40" spans="6:22" x14ac:dyDescent="0.35">
      <c r="F40" s="16" t="s">
        <v>181</v>
      </c>
      <c r="G40" s="16"/>
      <c r="H40" s="16">
        <f>SUMPRODUCT(J2:J197,O2:O197)</f>
        <v>0</v>
      </c>
      <c r="J40" s="45"/>
      <c r="K40" s="6" t="str">
        <f t="shared" si="0"/>
        <v>ALFRED MORRIS</v>
      </c>
      <c r="L40" s="7" t="str">
        <f t="shared" si="1"/>
        <v>RB</v>
      </c>
      <c r="M40" s="52">
        <f t="shared" si="2"/>
        <v>166.1</v>
      </c>
      <c r="N40" s="62">
        <f t="shared" si="3"/>
        <v>48</v>
      </c>
      <c r="O40" s="4">
        <v>1</v>
      </c>
      <c r="P40" s="11"/>
      <c r="Q40" s="59"/>
      <c r="R40" s="66">
        <f>M40/N40</f>
        <v>3.4604166666666667</v>
      </c>
      <c r="S40" s="5" t="s">
        <v>237</v>
      </c>
      <c r="T40" s="5" t="s">
        <v>1</v>
      </c>
      <c r="U40" s="5">
        <v>166.1</v>
      </c>
      <c r="V40" s="5">
        <v>48</v>
      </c>
    </row>
    <row r="41" spans="6:22" x14ac:dyDescent="0.35">
      <c r="F41" s="16"/>
      <c r="G41" s="16"/>
      <c r="H41" s="16"/>
      <c r="J41" s="45"/>
      <c r="K41" s="6" t="str">
        <f t="shared" si="0"/>
        <v>MELVIN GORDON</v>
      </c>
      <c r="L41" s="7" t="str">
        <f t="shared" si="1"/>
        <v>RB</v>
      </c>
      <c r="M41" s="52">
        <f t="shared" si="2"/>
        <v>164.8</v>
      </c>
      <c r="N41" s="62">
        <f t="shared" si="3"/>
        <v>57</v>
      </c>
      <c r="O41" s="4">
        <v>0</v>
      </c>
      <c r="P41" s="11"/>
      <c r="Q41" s="59"/>
      <c r="R41" s="66">
        <f>M41/N41</f>
        <v>2.8912280701754387</v>
      </c>
      <c r="S41" s="5" t="s">
        <v>343</v>
      </c>
      <c r="T41" s="5" t="s">
        <v>1</v>
      </c>
      <c r="U41" s="5">
        <v>164.8</v>
      </c>
      <c r="V41" s="5">
        <v>57</v>
      </c>
    </row>
    <row r="42" spans="6:22" x14ac:dyDescent="0.35">
      <c r="F42" s="16"/>
      <c r="G42" s="16"/>
      <c r="H42" s="16"/>
      <c r="J42" s="45"/>
      <c r="K42" s="6" t="str">
        <f t="shared" si="0"/>
        <v>FRANK GORE</v>
      </c>
      <c r="L42" s="7" t="str">
        <f t="shared" si="1"/>
        <v>RB</v>
      </c>
      <c r="M42" s="52">
        <f t="shared" si="2"/>
        <v>163.9</v>
      </c>
      <c r="N42" s="62">
        <f t="shared" si="3"/>
        <v>58</v>
      </c>
      <c r="O42" s="4">
        <v>0</v>
      </c>
      <c r="P42" s="11"/>
      <c r="Q42" s="59"/>
      <c r="R42" s="66">
        <f>M42/N42</f>
        <v>2.8258620689655172</v>
      </c>
      <c r="S42" s="5" t="s">
        <v>294</v>
      </c>
      <c r="T42" s="5" t="s">
        <v>1</v>
      </c>
      <c r="U42" s="5">
        <v>163.9</v>
      </c>
      <c r="V42" s="5">
        <v>58</v>
      </c>
    </row>
    <row r="43" spans="6:22" x14ac:dyDescent="0.35">
      <c r="F43" s="16"/>
      <c r="G43" s="16"/>
      <c r="H43" s="16"/>
      <c r="J43" s="45"/>
      <c r="K43" s="6" t="str">
        <f t="shared" si="0"/>
        <v>LATAVIUS MURRAY</v>
      </c>
      <c r="L43" s="7" t="str">
        <f t="shared" si="1"/>
        <v>RB</v>
      </c>
      <c r="M43" s="52">
        <f t="shared" si="2"/>
        <v>161.1</v>
      </c>
      <c r="N43" s="62">
        <f t="shared" si="3"/>
        <v>55</v>
      </c>
      <c r="O43" s="4">
        <v>0</v>
      </c>
      <c r="P43" s="11"/>
      <c r="Q43" s="59"/>
      <c r="R43" s="66">
        <f>M43/N43</f>
        <v>2.9290909090909092</v>
      </c>
      <c r="S43" s="5" t="s">
        <v>328</v>
      </c>
      <c r="T43" s="5" t="s">
        <v>1</v>
      </c>
      <c r="U43" s="5">
        <v>161.1</v>
      </c>
      <c r="V43" s="5">
        <v>55</v>
      </c>
    </row>
    <row r="44" spans="6:22" x14ac:dyDescent="0.35">
      <c r="F44" s="16"/>
      <c r="G44" s="16"/>
      <c r="H44" s="16"/>
      <c r="J44" s="45"/>
      <c r="K44" s="6" t="str">
        <f t="shared" si="0"/>
        <v>CARLOS HYDE</v>
      </c>
      <c r="L44" s="7" t="str">
        <f t="shared" si="1"/>
        <v>RB</v>
      </c>
      <c r="M44" s="52">
        <f t="shared" si="2"/>
        <v>160.9</v>
      </c>
      <c r="N44" s="62">
        <f t="shared" si="3"/>
        <v>48</v>
      </c>
      <c r="O44" s="4">
        <v>0</v>
      </c>
      <c r="P44" s="11"/>
      <c r="Q44" s="59"/>
      <c r="R44" s="66">
        <f>M44/N44</f>
        <v>3.3520833333333333</v>
      </c>
      <c r="S44" s="5" t="s">
        <v>263</v>
      </c>
      <c r="T44" s="5" t="s">
        <v>1</v>
      </c>
      <c r="U44" s="5">
        <v>160.9</v>
      </c>
      <c r="V44" s="5">
        <v>48</v>
      </c>
    </row>
    <row r="45" spans="6:22" x14ac:dyDescent="0.35">
      <c r="F45" s="16"/>
      <c r="G45" s="16"/>
      <c r="H45" s="16"/>
      <c r="J45" s="45"/>
      <c r="K45" s="6" t="str">
        <f t="shared" si="0"/>
        <v>ANDRE ELLINGTON</v>
      </c>
      <c r="L45" s="7" t="str">
        <f t="shared" si="1"/>
        <v>RB</v>
      </c>
      <c r="M45" s="52">
        <f t="shared" si="2"/>
        <v>149.69999999999999</v>
      </c>
      <c r="N45" s="62">
        <f t="shared" si="3"/>
        <v>59</v>
      </c>
      <c r="O45" s="4">
        <v>0</v>
      </c>
      <c r="P45" s="11"/>
      <c r="Q45" s="59"/>
      <c r="R45" s="66">
        <f>M45/N45</f>
        <v>2.53728813559322</v>
      </c>
      <c r="S45" s="5" t="s">
        <v>242</v>
      </c>
      <c r="T45" s="5" t="s">
        <v>1</v>
      </c>
      <c r="U45" s="5">
        <v>149.69999999999999</v>
      </c>
      <c r="V45" s="5">
        <v>59</v>
      </c>
    </row>
    <row r="46" spans="6:22" x14ac:dyDescent="0.35">
      <c r="F46" s="16"/>
      <c r="G46" s="16"/>
      <c r="H46" s="16"/>
      <c r="J46" s="45"/>
      <c r="K46" s="6" t="str">
        <f t="shared" si="0"/>
        <v>JOSEPH RANDLE</v>
      </c>
      <c r="L46" s="7" t="str">
        <f t="shared" si="1"/>
        <v>RB</v>
      </c>
      <c r="M46" s="52">
        <f t="shared" si="2"/>
        <v>147.1</v>
      </c>
      <c r="N46" s="62">
        <f t="shared" si="3"/>
        <v>33</v>
      </c>
      <c r="O46" s="4">
        <v>0</v>
      </c>
      <c r="P46" s="11"/>
      <c r="Q46" s="59"/>
      <c r="R46" s="66">
        <f>M46/N46</f>
        <v>4.4575757575757571</v>
      </c>
      <c r="S46" s="5" t="s">
        <v>315</v>
      </c>
      <c r="T46" s="5" t="s">
        <v>1</v>
      </c>
      <c r="U46" s="5">
        <v>147.1</v>
      </c>
      <c r="V46" s="5">
        <v>33</v>
      </c>
    </row>
    <row r="47" spans="6:22" x14ac:dyDescent="0.35">
      <c r="F47" s="16"/>
      <c r="G47" s="16"/>
      <c r="H47" s="16"/>
      <c r="J47" s="45"/>
      <c r="K47" s="6" t="str">
        <f t="shared" si="0"/>
        <v>T.J. YELDON</v>
      </c>
      <c r="L47" s="7" t="str">
        <f t="shared" si="1"/>
        <v>RB</v>
      </c>
      <c r="M47" s="52">
        <f t="shared" si="2"/>
        <v>146.5</v>
      </c>
      <c r="N47" s="62">
        <f t="shared" si="3"/>
        <v>43</v>
      </c>
      <c r="O47" s="4">
        <v>0</v>
      </c>
      <c r="P47" s="11"/>
      <c r="Q47" s="59"/>
      <c r="R47" s="66">
        <f>M47/N47</f>
        <v>3.4069767441860463</v>
      </c>
      <c r="S47" s="5" t="s">
        <v>369</v>
      </c>
      <c r="T47" s="5" t="s">
        <v>1</v>
      </c>
      <c r="U47" s="5">
        <v>146.5</v>
      </c>
      <c r="V47" s="5">
        <v>43</v>
      </c>
    </row>
    <row r="48" spans="6:22" x14ac:dyDescent="0.35">
      <c r="F48" s="16"/>
      <c r="G48" s="16"/>
      <c r="H48" s="16"/>
      <c r="J48" s="45"/>
      <c r="K48" s="6" t="str">
        <f t="shared" si="0"/>
        <v>JONATHAN STEWART</v>
      </c>
      <c r="L48" s="7" t="str">
        <f t="shared" si="1"/>
        <v>RB</v>
      </c>
      <c r="M48" s="52">
        <f t="shared" si="2"/>
        <v>146.1</v>
      </c>
      <c r="N48" s="62">
        <f t="shared" si="3"/>
        <v>39</v>
      </c>
      <c r="O48" s="4">
        <v>0</v>
      </c>
      <c r="P48" s="11"/>
      <c r="Q48" s="59"/>
      <c r="R48" s="66">
        <f>M48/N48</f>
        <v>3.7461538461538462</v>
      </c>
      <c r="S48" s="5" t="s">
        <v>311</v>
      </c>
      <c r="T48" s="5" t="s">
        <v>1</v>
      </c>
      <c r="U48" s="5">
        <v>146.1</v>
      </c>
      <c r="V48" s="5">
        <v>39</v>
      </c>
    </row>
    <row r="49" spans="6:22" x14ac:dyDescent="0.35">
      <c r="F49" s="16"/>
      <c r="G49" s="16"/>
      <c r="H49" s="16"/>
      <c r="J49" s="45"/>
      <c r="K49" s="6" t="str">
        <f t="shared" si="0"/>
        <v>LEGARRETTE BLOUNT</v>
      </c>
      <c r="L49" s="7" t="str">
        <f t="shared" si="1"/>
        <v>RB</v>
      </c>
      <c r="M49" s="52">
        <f t="shared" si="2"/>
        <v>140.19999999999999</v>
      </c>
      <c r="N49" s="62">
        <f t="shared" si="3"/>
        <v>25</v>
      </c>
      <c r="O49" s="4">
        <v>0</v>
      </c>
      <c r="P49" s="11"/>
      <c r="Q49" s="59"/>
      <c r="R49" s="66">
        <f>M49/N49</f>
        <v>5.6079999999999997</v>
      </c>
      <c r="S49" s="5" t="s">
        <v>330</v>
      </c>
      <c r="T49" s="5" t="s">
        <v>1</v>
      </c>
      <c r="U49" s="5">
        <v>140.19999999999999</v>
      </c>
      <c r="V49" s="5">
        <v>25</v>
      </c>
    </row>
    <row r="50" spans="6:22" x14ac:dyDescent="0.35">
      <c r="F50" s="16"/>
      <c r="G50" s="16"/>
      <c r="H50" s="16"/>
      <c r="J50" s="45"/>
      <c r="K50" s="6" t="str">
        <f t="shared" si="0"/>
        <v>RASHAD JENNINGS</v>
      </c>
      <c r="L50" s="7" t="str">
        <f t="shared" si="1"/>
        <v>RB</v>
      </c>
      <c r="M50" s="52">
        <f t="shared" si="2"/>
        <v>137.6</v>
      </c>
      <c r="N50" s="62">
        <f t="shared" si="3"/>
        <v>33</v>
      </c>
      <c r="O50" s="4">
        <v>0</v>
      </c>
      <c r="P50" s="11"/>
      <c r="Q50" s="59"/>
      <c r="R50" s="66">
        <f>M50/N50</f>
        <v>4.1696969696969699</v>
      </c>
      <c r="S50" s="5" t="s">
        <v>356</v>
      </c>
      <c r="T50" s="5" t="s">
        <v>1</v>
      </c>
      <c r="U50" s="5">
        <v>137.6</v>
      </c>
      <c r="V50" s="5">
        <v>33</v>
      </c>
    </row>
    <row r="51" spans="6:22" x14ac:dyDescent="0.35">
      <c r="F51" s="16"/>
      <c r="G51" s="16"/>
      <c r="H51" s="16"/>
      <c r="J51" s="45"/>
      <c r="K51" s="6" t="str">
        <f t="shared" si="0"/>
        <v>JOIQUE BELL</v>
      </c>
      <c r="L51" s="7" t="str">
        <f t="shared" si="1"/>
        <v>RB</v>
      </c>
      <c r="M51" s="52">
        <f t="shared" si="2"/>
        <v>137.19999999999999</v>
      </c>
      <c r="N51" s="62">
        <f t="shared" si="3"/>
        <v>34</v>
      </c>
      <c r="O51" s="4">
        <v>0</v>
      </c>
      <c r="P51" s="11"/>
      <c r="Q51" s="59"/>
      <c r="R51" s="66">
        <f>M51/N51</f>
        <v>4.0352941176470587</v>
      </c>
      <c r="S51" s="5" t="s">
        <v>310</v>
      </c>
      <c r="T51" s="5" t="s">
        <v>1</v>
      </c>
      <c r="U51" s="5">
        <v>137.19999999999999</v>
      </c>
      <c r="V51" s="5">
        <v>34</v>
      </c>
    </row>
    <row r="52" spans="6:22" x14ac:dyDescent="0.35">
      <c r="F52" s="16"/>
      <c r="G52" s="16"/>
      <c r="H52" s="16"/>
      <c r="J52" s="45"/>
      <c r="K52" s="6" t="str">
        <f t="shared" si="0"/>
        <v>ARIAN FOSTER</v>
      </c>
      <c r="L52" s="7" t="str">
        <f t="shared" si="1"/>
        <v>RB</v>
      </c>
      <c r="M52" s="52">
        <f t="shared" si="2"/>
        <v>132.80000000000001</v>
      </c>
      <c r="N52" s="62">
        <f t="shared" si="3"/>
        <v>29</v>
      </c>
      <c r="O52" s="4">
        <v>0</v>
      </c>
      <c r="P52" s="11"/>
      <c r="Q52" s="59"/>
      <c r="R52" s="66">
        <f>M52/N52</f>
        <v>4.5793103448275865</v>
      </c>
      <c r="S52" s="5" t="s">
        <v>249</v>
      </c>
      <c r="T52" s="5" t="s">
        <v>1</v>
      </c>
      <c r="U52" s="5">
        <v>132.80000000000001</v>
      </c>
      <c r="V52" s="5">
        <v>29</v>
      </c>
    </row>
    <row r="53" spans="6:22" x14ac:dyDescent="0.35">
      <c r="F53" s="16"/>
      <c r="G53" s="16"/>
      <c r="H53" s="16"/>
      <c r="J53" s="45"/>
      <c r="K53" s="6" t="str">
        <f t="shared" si="0"/>
        <v>TODD GURLEY</v>
      </c>
      <c r="L53" s="7" t="str">
        <f t="shared" si="1"/>
        <v>RB</v>
      </c>
      <c r="M53" s="52">
        <f t="shared" si="2"/>
        <v>132.80000000000001</v>
      </c>
      <c r="N53" s="62">
        <f t="shared" si="3"/>
        <v>27</v>
      </c>
      <c r="O53" s="4">
        <v>0</v>
      </c>
      <c r="P53" s="11"/>
      <c r="Q53" s="59"/>
      <c r="R53" s="66">
        <f>M53/N53</f>
        <v>4.9185185185185185</v>
      </c>
      <c r="S53" s="5" t="s">
        <v>374</v>
      </c>
      <c r="T53" s="5" t="s">
        <v>1</v>
      </c>
      <c r="U53" s="5">
        <v>132.80000000000001</v>
      </c>
      <c r="V53" s="5">
        <v>27</v>
      </c>
    </row>
    <row r="54" spans="6:22" x14ac:dyDescent="0.35">
      <c r="F54" s="16"/>
      <c r="G54" s="16"/>
      <c r="H54" s="16"/>
      <c r="J54" s="45"/>
      <c r="K54" s="6" t="str">
        <f t="shared" si="0"/>
        <v>TEVIN COLEMAN</v>
      </c>
      <c r="L54" s="7" t="str">
        <f t="shared" si="1"/>
        <v>RB</v>
      </c>
      <c r="M54" s="52">
        <f t="shared" si="2"/>
        <v>128.69999999999999</v>
      </c>
      <c r="N54" s="62">
        <f t="shared" si="3"/>
        <v>26</v>
      </c>
      <c r="O54" s="4">
        <v>0</v>
      </c>
      <c r="P54" s="11"/>
      <c r="Q54" s="59"/>
      <c r="R54" s="66">
        <f>M54/N54</f>
        <v>4.9499999999999993</v>
      </c>
      <c r="S54" s="5" t="s">
        <v>373</v>
      </c>
      <c r="T54" s="5" t="s">
        <v>1</v>
      </c>
      <c r="U54" s="5">
        <v>128.69999999999999</v>
      </c>
      <c r="V54" s="5">
        <v>26</v>
      </c>
    </row>
    <row r="55" spans="6:22" x14ac:dyDescent="0.35">
      <c r="F55" s="16"/>
      <c r="G55" s="16"/>
      <c r="H55" s="16"/>
      <c r="J55" s="45"/>
      <c r="K55" s="6" t="str">
        <f t="shared" si="0"/>
        <v>ISAIAH CROWELL</v>
      </c>
      <c r="L55" s="7" t="str">
        <f t="shared" si="1"/>
        <v>RB</v>
      </c>
      <c r="M55" s="52">
        <f t="shared" si="2"/>
        <v>127.9</v>
      </c>
      <c r="N55" s="62">
        <f t="shared" si="3"/>
        <v>20</v>
      </c>
      <c r="O55" s="4">
        <v>0</v>
      </c>
      <c r="P55" s="11"/>
      <c r="Q55" s="59"/>
      <c r="R55" s="66">
        <f>M55/N55</f>
        <v>6.3950000000000005</v>
      </c>
      <c r="S55" s="5" t="s">
        <v>299</v>
      </c>
      <c r="T55" s="5" t="s">
        <v>1</v>
      </c>
      <c r="U55" s="5">
        <v>127.9</v>
      </c>
      <c r="V55" s="5">
        <v>20</v>
      </c>
    </row>
    <row r="56" spans="6:22" x14ac:dyDescent="0.35">
      <c r="F56" s="16"/>
      <c r="G56" s="16"/>
      <c r="H56" s="16"/>
      <c r="J56" s="45"/>
      <c r="K56" s="6" t="str">
        <f t="shared" si="0"/>
        <v>GIOVANI BERNARD</v>
      </c>
      <c r="L56" s="7" t="str">
        <f t="shared" si="1"/>
        <v>RB</v>
      </c>
      <c r="M56" s="52">
        <f t="shared" si="2"/>
        <v>126.9</v>
      </c>
      <c r="N56" s="62">
        <f t="shared" si="3"/>
        <v>41</v>
      </c>
      <c r="O56" s="4">
        <v>0</v>
      </c>
      <c r="P56" s="11"/>
      <c r="Q56" s="59"/>
      <c r="R56" s="66">
        <f>M56/N56</f>
        <v>3.0951219512195123</v>
      </c>
      <c r="S56" s="5" t="s">
        <v>295</v>
      </c>
      <c r="T56" s="5" t="s">
        <v>1</v>
      </c>
      <c r="U56" s="5">
        <v>126.9</v>
      </c>
      <c r="V56" s="5">
        <v>41</v>
      </c>
    </row>
    <row r="57" spans="6:22" x14ac:dyDescent="0.35">
      <c r="F57" s="16"/>
      <c r="G57" s="16"/>
      <c r="H57" s="16"/>
      <c r="J57" s="45"/>
      <c r="K57" s="6" t="str">
        <f t="shared" si="0"/>
        <v>AMEER ABDULLAH</v>
      </c>
      <c r="L57" s="7" t="str">
        <f t="shared" si="1"/>
        <v>RB</v>
      </c>
      <c r="M57" s="52">
        <f t="shared" si="2"/>
        <v>122.6</v>
      </c>
      <c r="N57" s="62">
        <f t="shared" si="3"/>
        <v>31</v>
      </c>
      <c r="O57" s="4">
        <v>0</v>
      </c>
      <c r="P57" s="11"/>
      <c r="Q57" s="59"/>
      <c r="R57" s="66">
        <f>M57/N57</f>
        <v>3.9548387096774191</v>
      </c>
      <c r="S57" s="5" t="s">
        <v>241</v>
      </c>
      <c r="T57" s="5" t="s">
        <v>1</v>
      </c>
      <c r="U57" s="5">
        <v>122.6</v>
      </c>
      <c r="V57" s="5">
        <v>31</v>
      </c>
    </row>
    <row r="58" spans="6:22" x14ac:dyDescent="0.35">
      <c r="F58" s="16"/>
      <c r="G58" s="16"/>
      <c r="H58" s="16"/>
      <c r="J58" s="45"/>
      <c r="K58" s="6" t="str">
        <f t="shared" si="0"/>
        <v>DEVONTA FREEMAN</v>
      </c>
      <c r="L58" s="7" t="str">
        <f t="shared" si="1"/>
        <v>RB</v>
      </c>
      <c r="M58" s="52">
        <f t="shared" si="2"/>
        <v>122.4</v>
      </c>
      <c r="N58" s="62">
        <f t="shared" si="3"/>
        <v>30</v>
      </c>
      <c r="O58" s="4">
        <v>0</v>
      </c>
      <c r="P58" s="11"/>
      <c r="Q58" s="59"/>
      <c r="R58" s="66">
        <f>M58/N58</f>
        <v>4.08</v>
      </c>
      <c r="S58" s="5" t="s">
        <v>281</v>
      </c>
      <c r="T58" s="5" t="s">
        <v>1</v>
      </c>
      <c r="U58" s="5">
        <v>122.4</v>
      </c>
      <c r="V58" s="5">
        <v>30</v>
      </c>
    </row>
    <row r="59" spans="6:22" x14ac:dyDescent="0.35">
      <c r="F59" s="16"/>
      <c r="G59" s="16"/>
      <c r="H59" s="16"/>
      <c r="J59" s="45"/>
      <c r="K59" s="6" t="str">
        <f t="shared" si="0"/>
        <v>C.J. SPILLER</v>
      </c>
      <c r="L59" s="7" t="str">
        <f t="shared" si="1"/>
        <v>RB</v>
      </c>
      <c r="M59" s="52">
        <f t="shared" si="2"/>
        <v>117.4</v>
      </c>
      <c r="N59" s="62">
        <f t="shared" si="3"/>
        <v>42</v>
      </c>
      <c r="O59" s="4">
        <v>0</v>
      </c>
      <c r="P59" s="11"/>
      <c r="Q59" s="59"/>
      <c r="R59" s="66">
        <f>M59/N59</f>
        <v>2.7952380952380955</v>
      </c>
      <c r="S59" s="5" t="s">
        <v>260</v>
      </c>
      <c r="T59" s="5" t="s">
        <v>1</v>
      </c>
      <c r="U59" s="5">
        <v>117.4</v>
      </c>
      <c r="V59" s="5">
        <v>42</v>
      </c>
    </row>
    <row r="60" spans="6:22" x14ac:dyDescent="0.35">
      <c r="F60" s="16"/>
      <c r="G60" s="16"/>
      <c r="H60" s="16"/>
      <c r="J60" s="45"/>
      <c r="K60" s="6" t="str">
        <f t="shared" si="0"/>
        <v>DOUG MARTIN</v>
      </c>
      <c r="L60" s="7" t="str">
        <f t="shared" si="1"/>
        <v>RB</v>
      </c>
      <c r="M60" s="52">
        <f t="shared" si="2"/>
        <v>113.6</v>
      </c>
      <c r="N60" s="62">
        <f t="shared" si="3"/>
        <v>15</v>
      </c>
      <c r="O60" s="4">
        <v>0</v>
      </c>
      <c r="P60" s="11"/>
      <c r="Q60" s="59"/>
      <c r="R60" s="66">
        <f>M60/N60</f>
        <v>7.5733333333333333</v>
      </c>
      <c r="S60" s="5" t="s">
        <v>284</v>
      </c>
      <c r="T60" s="5" t="s">
        <v>1</v>
      </c>
      <c r="U60" s="5">
        <v>113.6</v>
      </c>
      <c r="V60" s="5">
        <v>15</v>
      </c>
    </row>
    <row r="61" spans="6:22" x14ac:dyDescent="0.35">
      <c r="F61" s="16"/>
      <c r="G61" s="16"/>
      <c r="H61" s="16"/>
      <c r="J61" s="45"/>
      <c r="K61" s="6" t="str">
        <f t="shared" si="0"/>
        <v>RYAN MATHEWS</v>
      </c>
      <c r="L61" s="7" t="str">
        <f t="shared" si="1"/>
        <v>RB</v>
      </c>
      <c r="M61" s="52">
        <f t="shared" si="2"/>
        <v>106.5</v>
      </c>
      <c r="N61" s="62">
        <f t="shared" si="3"/>
        <v>11</v>
      </c>
      <c r="O61" s="4">
        <v>0</v>
      </c>
      <c r="P61" s="11"/>
      <c r="Q61" s="59"/>
      <c r="R61" s="66">
        <f>M61/N61</f>
        <v>9.6818181818181817</v>
      </c>
      <c r="S61" s="5" t="s">
        <v>363</v>
      </c>
      <c r="T61" s="5" t="s">
        <v>1</v>
      </c>
      <c r="U61" s="5">
        <v>106.5</v>
      </c>
      <c r="V61" s="5">
        <v>11</v>
      </c>
    </row>
    <row r="62" spans="6:22" x14ac:dyDescent="0.35">
      <c r="F62" s="16"/>
      <c r="G62" s="16"/>
      <c r="H62" s="16"/>
      <c r="J62" s="45"/>
      <c r="K62" s="6" t="str">
        <f t="shared" si="0"/>
        <v>SHANE VEREEN</v>
      </c>
      <c r="L62" s="7" t="str">
        <f t="shared" si="1"/>
        <v>RB</v>
      </c>
      <c r="M62" s="52">
        <f t="shared" si="2"/>
        <v>100.7</v>
      </c>
      <c r="N62" s="62">
        <f t="shared" si="3"/>
        <v>22</v>
      </c>
      <c r="O62" s="4">
        <v>0</v>
      </c>
      <c r="P62" s="11"/>
      <c r="Q62" s="59"/>
      <c r="R62" s="66">
        <f>M62/N62</f>
        <v>4.5772727272727272</v>
      </c>
      <c r="S62" s="5" t="s">
        <v>367</v>
      </c>
      <c r="T62" s="5" t="s">
        <v>1</v>
      </c>
      <c r="U62" s="5">
        <v>100.7</v>
      </c>
      <c r="V62" s="5">
        <v>22</v>
      </c>
    </row>
    <row r="63" spans="6:22" x14ac:dyDescent="0.35">
      <c r="F63" s="16"/>
      <c r="G63" s="16"/>
      <c r="H63" s="16"/>
      <c r="J63" s="45"/>
      <c r="K63" s="6" t="str">
        <f t="shared" si="0"/>
        <v>BISHOP SANKEY</v>
      </c>
      <c r="L63" s="7" t="str">
        <f t="shared" si="1"/>
        <v>RB</v>
      </c>
      <c r="M63" s="52">
        <f t="shared" si="2"/>
        <v>100</v>
      </c>
      <c r="N63" s="62">
        <f t="shared" si="3"/>
        <v>10</v>
      </c>
      <c r="O63" s="4">
        <v>0</v>
      </c>
      <c r="P63" s="11"/>
      <c r="Q63" s="59"/>
      <c r="R63" s="66">
        <f>M63/N63</f>
        <v>10</v>
      </c>
      <c r="S63" s="5" t="s">
        <v>252</v>
      </c>
      <c r="T63" s="5" t="s">
        <v>1</v>
      </c>
      <c r="U63" s="5">
        <v>100</v>
      </c>
      <c r="V63" s="5">
        <v>10</v>
      </c>
    </row>
    <row r="64" spans="6:22" x14ac:dyDescent="0.35">
      <c r="F64" s="16"/>
      <c r="G64" s="16"/>
      <c r="H64" s="16"/>
      <c r="J64" s="45"/>
      <c r="K64" s="6" t="str">
        <f t="shared" si="0"/>
        <v>ALFRED BLUE</v>
      </c>
      <c r="L64" s="7" t="str">
        <f t="shared" si="1"/>
        <v>RB</v>
      </c>
      <c r="M64" s="52">
        <f t="shared" si="2"/>
        <v>97.8</v>
      </c>
      <c r="N64" s="62">
        <f t="shared" si="3"/>
        <v>9</v>
      </c>
      <c r="O64" s="4">
        <v>0</v>
      </c>
      <c r="P64" s="11"/>
      <c r="Q64" s="59"/>
      <c r="R64" s="66">
        <f>M64/N64</f>
        <v>10.866666666666667</v>
      </c>
      <c r="S64" s="5" t="s">
        <v>236</v>
      </c>
      <c r="T64" s="5" t="s">
        <v>1</v>
      </c>
      <c r="U64" s="5">
        <v>97.8</v>
      </c>
      <c r="V64" s="5">
        <v>9</v>
      </c>
    </row>
    <row r="65" spans="6:22" x14ac:dyDescent="0.35">
      <c r="F65" s="16"/>
      <c r="G65" s="16"/>
      <c r="H65" s="16"/>
      <c r="J65" s="45"/>
      <c r="K65" s="6" t="str">
        <f t="shared" si="0"/>
        <v>TRE MASON</v>
      </c>
      <c r="L65" s="7" t="str">
        <f t="shared" si="1"/>
        <v>RB</v>
      </c>
      <c r="M65" s="52">
        <f t="shared" si="2"/>
        <v>94.9</v>
      </c>
      <c r="N65" s="62">
        <f t="shared" si="3"/>
        <v>9</v>
      </c>
      <c r="O65" s="4">
        <v>0</v>
      </c>
      <c r="P65" s="11"/>
      <c r="Q65" s="59"/>
      <c r="R65" s="66">
        <f>M65/N65</f>
        <v>10.544444444444444</v>
      </c>
      <c r="S65" s="5" t="s">
        <v>379</v>
      </c>
      <c r="T65" s="5" t="s">
        <v>1</v>
      </c>
      <c r="U65" s="5">
        <v>94.9</v>
      </c>
      <c r="V65" s="5">
        <v>9</v>
      </c>
    </row>
    <row r="66" spans="6:22" x14ac:dyDescent="0.35">
      <c r="F66" s="16"/>
      <c r="G66" s="16"/>
      <c r="H66" s="16"/>
      <c r="J66" s="45"/>
      <c r="K66" s="6" t="str">
        <f t="shared" si="0"/>
        <v>CHARLES SIMS</v>
      </c>
      <c r="L66" s="7" t="str">
        <f t="shared" si="1"/>
        <v>RB</v>
      </c>
      <c r="M66" s="52">
        <f t="shared" si="2"/>
        <v>87.6</v>
      </c>
      <c r="N66" s="62">
        <f t="shared" si="3"/>
        <v>12</v>
      </c>
      <c r="O66" s="4">
        <v>0</v>
      </c>
      <c r="P66" s="11"/>
      <c r="Q66" s="59"/>
      <c r="R66" s="66">
        <f>M66/N66</f>
        <v>7.3</v>
      </c>
      <c r="S66" s="5" t="s">
        <v>267</v>
      </c>
      <c r="T66" s="5" t="s">
        <v>1</v>
      </c>
      <c r="U66" s="5">
        <v>87.6</v>
      </c>
      <c r="V66" s="5">
        <v>12</v>
      </c>
    </row>
    <row r="67" spans="6:22" x14ac:dyDescent="0.35">
      <c r="F67" s="16"/>
      <c r="G67" s="16"/>
      <c r="H67" s="16"/>
      <c r="J67" s="45"/>
      <c r="K67" s="6" t="str">
        <f t="shared" ref="K67:K130" si="5">S67</f>
        <v>DANNY WOODHEAD</v>
      </c>
      <c r="L67" s="7" t="str">
        <f t="shared" ref="L67:L130" si="6">T67</f>
        <v>RB</v>
      </c>
      <c r="M67" s="52">
        <f t="shared" ref="M67:M130" si="7">U67</f>
        <v>83.8</v>
      </c>
      <c r="N67" s="62">
        <f t="shared" ref="N67:N130" si="8">V67</f>
        <v>14</v>
      </c>
      <c r="O67" s="4">
        <v>0</v>
      </c>
      <c r="P67" s="11"/>
      <c r="Q67" s="59"/>
      <c r="R67" s="66">
        <f>M67/N67</f>
        <v>5.9857142857142858</v>
      </c>
      <c r="S67" s="5" t="s">
        <v>270</v>
      </c>
      <c r="T67" s="5" t="s">
        <v>1</v>
      </c>
      <c r="U67" s="5">
        <v>83.8</v>
      </c>
      <c r="V67" s="5">
        <v>14</v>
      </c>
    </row>
    <row r="68" spans="6:22" x14ac:dyDescent="0.35">
      <c r="F68" s="16"/>
      <c r="G68" s="16"/>
      <c r="H68" s="16"/>
      <c r="J68" s="45"/>
      <c r="K68" s="6" t="str">
        <f t="shared" si="5"/>
        <v>REGGIE BUSH</v>
      </c>
      <c r="L68" s="7" t="str">
        <f t="shared" si="6"/>
        <v>RB</v>
      </c>
      <c r="M68" s="52">
        <f t="shared" si="7"/>
        <v>81.099999999999994</v>
      </c>
      <c r="N68" s="62">
        <f t="shared" si="8"/>
        <v>10</v>
      </c>
      <c r="O68" s="4">
        <v>0</v>
      </c>
      <c r="P68" s="11"/>
      <c r="Q68" s="59"/>
      <c r="R68" s="66">
        <f>M68/N68</f>
        <v>8.11</v>
      </c>
      <c r="S68" s="5" t="s">
        <v>357</v>
      </c>
      <c r="T68" s="5" t="s">
        <v>1</v>
      </c>
      <c r="U68" s="5">
        <v>81.099999999999994</v>
      </c>
      <c r="V68" s="5">
        <v>10</v>
      </c>
    </row>
    <row r="69" spans="6:22" x14ac:dyDescent="0.35">
      <c r="F69" s="16"/>
      <c r="G69" s="16"/>
      <c r="H69" s="16"/>
      <c r="J69" s="45"/>
      <c r="K69" s="6" t="str">
        <f t="shared" si="5"/>
        <v>DARREN MCFADDEN</v>
      </c>
      <c r="L69" s="7" t="str">
        <f t="shared" si="6"/>
        <v>RB</v>
      </c>
      <c r="M69" s="52">
        <f t="shared" si="7"/>
        <v>80.5</v>
      </c>
      <c r="N69" s="62">
        <f t="shared" si="8"/>
        <v>3</v>
      </c>
      <c r="O69" s="4">
        <v>0</v>
      </c>
      <c r="P69" s="11"/>
      <c r="Q69" s="59"/>
      <c r="R69" s="66">
        <f>M69/N69</f>
        <v>26.833333333333332</v>
      </c>
      <c r="S69" s="5" t="s">
        <v>271</v>
      </c>
      <c r="T69" s="5" t="s">
        <v>1</v>
      </c>
      <c r="U69" s="5">
        <v>80.5</v>
      </c>
      <c r="V69" s="5">
        <v>3</v>
      </c>
    </row>
    <row r="70" spans="6:22" x14ac:dyDescent="0.35">
      <c r="F70" s="16"/>
      <c r="G70" s="16"/>
      <c r="H70" s="16"/>
      <c r="J70" s="45"/>
      <c r="K70" s="6" t="str">
        <f t="shared" si="5"/>
        <v>KNILE DAVIS</v>
      </c>
      <c r="L70" s="7" t="str">
        <f t="shared" si="6"/>
        <v>RB</v>
      </c>
      <c r="M70" s="52">
        <f t="shared" si="7"/>
        <v>76.8</v>
      </c>
      <c r="N70" s="62">
        <f t="shared" si="8"/>
        <v>2</v>
      </c>
      <c r="O70" s="4">
        <v>0</v>
      </c>
      <c r="P70" s="11"/>
      <c r="Q70" s="59"/>
      <c r="R70" s="66">
        <f>M70/N70</f>
        <v>38.4</v>
      </c>
      <c r="S70" s="5" t="s">
        <v>324</v>
      </c>
      <c r="T70" s="5" t="s">
        <v>1</v>
      </c>
      <c r="U70" s="5">
        <v>76.8</v>
      </c>
      <c r="V70" s="5">
        <v>2</v>
      </c>
    </row>
    <row r="71" spans="6:22" x14ac:dyDescent="0.35">
      <c r="F71" s="16"/>
      <c r="G71" s="16"/>
      <c r="H71" s="16"/>
      <c r="J71" s="45"/>
      <c r="K71" s="6" t="str">
        <f t="shared" si="5"/>
        <v>DAVID COBB</v>
      </c>
      <c r="L71" s="7" t="str">
        <f t="shared" si="6"/>
        <v>RB</v>
      </c>
      <c r="M71" s="52">
        <f t="shared" si="7"/>
        <v>75.900000000000006</v>
      </c>
      <c r="N71" s="62">
        <f t="shared" si="8"/>
        <v>2</v>
      </c>
      <c r="O71" s="4">
        <v>0</v>
      </c>
      <c r="P71" s="11"/>
      <c r="Q71" s="59"/>
      <c r="R71" s="66">
        <f>M71/N71</f>
        <v>37.950000000000003</v>
      </c>
      <c r="S71" s="5" t="s">
        <v>274</v>
      </c>
      <c r="T71" s="5" t="s">
        <v>1</v>
      </c>
      <c r="U71" s="5">
        <v>75.900000000000006</v>
      </c>
      <c r="V71" s="5">
        <v>2</v>
      </c>
    </row>
    <row r="72" spans="6:22" x14ac:dyDescent="0.35">
      <c r="F72" s="16"/>
      <c r="G72" s="16"/>
      <c r="H72" s="16"/>
      <c r="J72" s="45"/>
      <c r="K72" s="6" t="str">
        <f t="shared" si="5"/>
        <v>DUKE JOHNSON</v>
      </c>
      <c r="L72" s="7" t="str">
        <f t="shared" si="6"/>
        <v>RB</v>
      </c>
      <c r="M72" s="52">
        <f t="shared" si="7"/>
        <v>75</v>
      </c>
      <c r="N72" s="62">
        <f t="shared" si="8"/>
        <v>5</v>
      </c>
      <c r="O72" s="4">
        <v>0</v>
      </c>
      <c r="P72" s="11"/>
      <c r="Q72" s="59"/>
      <c r="R72" s="66">
        <f>M72/N72</f>
        <v>15</v>
      </c>
      <c r="S72" s="5" t="s">
        <v>286</v>
      </c>
      <c r="T72" s="5" t="s">
        <v>1</v>
      </c>
      <c r="U72" s="5">
        <v>75</v>
      </c>
      <c r="V72" s="5">
        <v>5</v>
      </c>
    </row>
    <row r="73" spans="6:22" x14ac:dyDescent="0.35">
      <c r="F73" s="16"/>
      <c r="G73" s="16"/>
      <c r="H73" s="16"/>
      <c r="J73" s="45"/>
      <c r="K73" s="6" t="str">
        <f t="shared" si="5"/>
        <v>LORENZO TALIAFERRO</v>
      </c>
      <c r="L73" s="7" t="str">
        <f t="shared" si="6"/>
        <v>RB</v>
      </c>
      <c r="M73" s="52">
        <f t="shared" si="7"/>
        <v>74.5</v>
      </c>
      <c r="N73" s="62">
        <f t="shared" si="8"/>
        <v>2</v>
      </c>
      <c r="O73" s="4">
        <v>0</v>
      </c>
      <c r="P73" s="11"/>
      <c r="Q73" s="59"/>
      <c r="R73" s="66">
        <f>M73/N73</f>
        <v>37.25</v>
      </c>
      <c r="S73" s="5" t="s">
        <v>332</v>
      </c>
      <c r="T73" s="5" t="s">
        <v>1</v>
      </c>
      <c r="U73" s="5">
        <v>74.5</v>
      </c>
      <c r="V73" s="5">
        <v>2</v>
      </c>
    </row>
    <row r="74" spans="6:22" x14ac:dyDescent="0.35">
      <c r="F74" s="16"/>
      <c r="G74" s="16"/>
      <c r="H74" s="16"/>
      <c r="J74" s="45"/>
      <c r="K74" s="6" t="str">
        <f t="shared" si="5"/>
        <v>DARREN SPROLES</v>
      </c>
      <c r="L74" s="7" t="str">
        <f t="shared" si="6"/>
        <v>RB</v>
      </c>
      <c r="M74" s="52">
        <f t="shared" si="7"/>
        <v>74</v>
      </c>
      <c r="N74" s="62">
        <f t="shared" si="8"/>
        <v>9</v>
      </c>
      <c r="O74" s="4">
        <v>0</v>
      </c>
      <c r="P74" s="11"/>
      <c r="Q74" s="59"/>
      <c r="R74" s="66">
        <f>M74/N74</f>
        <v>8.2222222222222214</v>
      </c>
      <c r="S74" s="5" t="s">
        <v>272</v>
      </c>
      <c r="T74" s="5" t="s">
        <v>1</v>
      </c>
      <c r="U74" s="5">
        <v>74</v>
      </c>
      <c r="V74" s="5">
        <v>9</v>
      </c>
    </row>
    <row r="75" spans="6:22" x14ac:dyDescent="0.35">
      <c r="F75" s="16"/>
      <c r="G75" s="16"/>
      <c r="H75" s="16"/>
      <c r="J75" s="45"/>
      <c r="K75" s="6" t="str">
        <f t="shared" si="5"/>
        <v>ROY HELU</v>
      </c>
      <c r="L75" s="7" t="str">
        <f t="shared" si="6"/>
        <v>RB</v>
      </c>
      <c r="M75" s="52">
        <f t="shared" si="7"/>
        <v>74</v>
      </c>
      <c r="N75" s="62">
        <f t="shared" si="8"/>
        <v>8</v>
      </c>
      <c r="O75" s="4">
        <v>0</v>
      </c>
      <c r="P75" s="11"/>
      <c r="Q75" s="59"/>
      <c r="R75" s="66">
        <f>M75/N75</f>
        <v>9.25</v>
      </c>
      <c r="S75" s="5" t="s">
        <v>360</v>
      </c>
      <c r="T75" s="5" t="s">
        <v>1</v>
      </c>
      <c r="U75" s="5">
        <v>74</v>
      </c>
      <c r="V75" s="5">
        <v>8</v>
      </c>
    </row>
    <row r="76" spans="6:22" x14ac:dyDescent="0.35">
      <c r="F76" s="16"/>
      <c r="G76" s="16"/>
      <c r="H76" s="16"/>
      <c r="J76" s="45"/>
      <c r="K76" s="6" t="str">
        <f t="shared" si="5"/>
        <v>ROB GRONKOWSKI</v>
      </c>
      <c r="L76" s="7" t="str">
        <f t="shared" si="6"/>
        <v>TE</v>
      </c>
      <c r="M76" s="52">
        <f t="shared" si="7"/>
        <v>165.7</v>
      </c>
      <c r="N76" s="62">
        <f t="shared" si="8"/>
        <v>124</v>
      </c>
      <c r="O76" s="4">
        <v>0</v>
      </c>
      <c r="P76" s="11"/>
      <c r="Q76" s="59"/>
      <c r="R76" s="66">
        <f>M76/N76</f>
        <v>1.3362903225806451</v>
      </c>
      <c r="S76" s="5" t="s">
        <v>358</v>
      </c>
      <c r="T76" s="5" t="s">
        <v>3</v>
      </c>
      <c r="U76" s="5">
        <v>165.7</v>
      </c>
      <c r="V76" s="5">
        <v>124</v>
      </c>
    </row>
    <row r="77" spans="6:22" x14ac:dyDescent="0.35">
      <c r="F77" s="16"/>
      <c r="G77" s="16"/>
      <c r="H77" s="16"/>
      <c r="J77" s="45"/>
      <c r="K77" s="6" t="str">
        <f t="shared" si="5"/>
        <v>JIMMY GRAHAM</v>
      </c>
      <c r="L77" s="7" t="str">
        <f t="shared" si="6"/>
        <v>TE</v>
      </c>
      <c r="M77" s="52">
        <f t="shared" si="7"/>
        <v>133.80000000000001</v>
      </c>
      <c r="N77" s="62">
        <f t="shared" si="8"/>
        <v>72</v>
      </c>
      <c r="O77" s="4">
        <v>0</v>
      </c>
      <c r="P77" s="11"/>
      <c r="Q77" s="59"/>
      <c r="R77" s="66">
        <f>M77/N77</f>
        <v>1.8583333333333334</v>
      </c>
      <c r="S77" s="5" t="s">
        <v>307</v>
      </c>
      <c r="T77" s="5" t="s">
        <v>3</v>
      </c>
      <c r="U77" s="5">
        <v>133.80000000000001</v>
      </c>
      <c r="V77" s="5">
        <v>72</v>
      </c>
    </row>
    <row r="78" spans="6:22" x14ac:dyDescent="0.35">
      <c r="F78" s="16"/>
      <c r="G78" s="16"/>
      <c r="H78" s="16"/>
      <c r="J78" s="45"/>
      <c r="K78" s="6" t="str">
        <f t="shared" si="5"/>
        <v>GREG OLSEN</v>
      </c>
      <c r="L78" s="7" t="str">
        <f t="shared" si="6"/>
        <v>TE</v>
      </c>
      <c r="M78" s="52">
        <f t="shared" si="7"/>
        <v>120</v>
      </c>
      <c r="N78" s="62">
        <f t="shared" si="8"/>
        <v>63</v>
      </c>
      <c r="O78" s="4">
        <v>0</v>
      </c>
      <c r="P78" s="11"/>
      <c r="Q78" s="59"/>
      <c r="R78" s="66">
        <f>M78/N78</f>
        <v>1.9047619047619047</v>
      </c>
      <c r="S78" s="5" t="s">
        <v>297</v>
      </c>
      <c r="T78" s="5" t="s">
        <v>3</v>
      </c>
      <c r="U78" s="5">
        <v>120</v>
      </c>
      <c r="V78" s="5">
        <v>63</v>
      </c>
    </row>
    <row r="79" spans="6:22" x14ac:dyDescent="0.35">
      <c r="F79" s="16"/>
      <c r="G79" s="16"/>
      <c r="H79" s="16"/>
      <c r="J79" s="45"/>
      <c r="K79" s="6" t="str">
        <f t="shared" si="5"/>
        <v>TRAVIS KELCE</v>
      </c>
      <c r="L79" s="7" t="str">
        <f t="shared" si="6"/>
        <v>TE</v>
      </c>
      <c r="M79" s="52">
        <f t="shared" si="7"/>
        <v>117.1</v>
      </c>
      <c r="N79" s="62">
        <f t="shared" si="8"/>
        <v>58</v>
      </c>
      <c r="O79" s="4">
        <v>0</v>
      </c>
      <c r="P79" s="11"/>
      <c r="Q79" s="59"/>
      <c r="R79" s="66">
        <f>M79/N79</f>
        <v>2.0189655172413792</v>
      </c>
      <c r="S79" s="5" t="s">
        <v>378</v>
      </c>
      <c r="T79" s="5" t="s">
        <v>3</v>
      </c>
      <c r="U79" s="5">
        <v>117.1</v>
      </c>
      <c r="V79" s="5">
        <v>58</v>
      </c>
    </row>
    <row r="80" spans="6:22" x14ac:dyDescent="0.35">
      <c r="F80" s="16"/>
      <c r="G80" s="16"/>
      <c r="H80" s="16"/>
      <c r="J80" s="45"/>
      <c r="K80" s="6" t="str">
        <f t="shared" si="5"/>
        <v>MARTELLUS BENNETT</v>
      </c>
      <c r="L80" s="7" t="str">
        <f t="shared" si="6"/>
        <v>TE</v>
      </c>
      <c r="M80" s="52">
        <f t="shared" si="7"/>
        <v>111.4</v>
      </c>
      <c r="N80" s="62">
        <f t="shared" si="8"/>
        <v>54</v>
      </c>
      <c r="O80" s="4">
        <v>0</v>
      </c>
      <c r="P80" s="11"/>
      <c r="Q80" s="59"/>
      <c r="R80" s="66">
        <f>M80/N80</f>
        <v>2.0629629629629629</v>
      </c>
      <c r="S80" s="5" t="s">
        <v>339</v>
      </c>
      <c r="T80" s="5" t="s">
        <v>3</v>
      </c>
      <c r="U80" s="5">
        <v>111.4</v>
      </c>
      <c r="V80" s="5">
        <v>54</v>
      </c>
    </row>
    <row r="81" spans="6:22" x14ac:dyDescent="0.35">
      <c r="F81" s="16"/>
      <c r="G81" s="16"/>
      <c r="H81" s="16"/>
      <c r="J81" s="45"/>
      <c r="K81" s="6" t="str">
        <f t="shared" si="5"/>
        <v>JASON WITTEN</v>
      </c>
      <c r="L81" s="7" t="str">
        <f t="shared" si="6"/>
        <v>TE</v>
      </c>
      <c r="M81" s="52">
        <f t="shared" si="7"/>
        <v>108.1</v>
      </c>
      <c r="N81" s="62">
        <f t="shared" si="8"/>
        <v>37</v>
      </c>
      <c r="O81" s="4">
        <v>0</v>
      </c>
      <c r="P81" s="11"/>
      <c r="Q81" s="59"/>
      <c r="R81" s="66">
        <f>M81/N81</f>
        <v>2.9216216216216213</v>
      </c>
      <c r="S81" s="5" t="s">
        <v>303</v>
      </c>
      <c r="T81" s="5" t="s">
        <v>3</v>
      </c>
      <c r="U81" s="5">
        <v>108.1</v>
      </c>
      <c r="V81" s="5">
        <v>37</v>
      </c>
    </row>
    <row r="82" spans="6:22" x14ac:dyDescent="0.35">
      <c r="F82" s="16"/>
      <c r="G82" s="16"/>
      <c r="H82" s="16"/>
      <c r="J82" s="45"/>
      <c r="K82" s="6" t="str">
        <f t="shared" si="5"/>
        <v>JULIUS THOMAS</v>
      </c>
      <c r="L82" s="7" t="str">
        <f t="shared" si="6"/>
        <v>TE</v>
      </c>
      <c r="M82" s="52">
        <f t="shared" si="7"/>
        <v>101.5</v>
      </c>
      <c r="N82" s="62">
        <f t="shared" si="8"/>
        <v>29</v>
      </c>
      <c r="O82" s="4">
        <v>0</v>
      </c>
      <c r="P82" s="11"/>
      <c r="Q82" s="59"/>
      <c r="R82" s="66">
        <f>M82/N82</f>
        <v>3.5</v>
      </c>
      <c r="S82" s="5" t="s">
        <v>318</v>
      </c>
      <c r="T82" s="5" t="s">
        <v>3</v>
      </c>
      <c r="U82" s="5">
        <v>101.5</v>
      </c>
      <c r="V82" s="5">
        <v>29</v>
      </c>
    </row>
    <row r="83" spans="6:22" x14ac:dyDescent="0.35">
      <c r="F83" s="16"/>
      <c r="G83" s="16"/>
      <c r="H83" s="16"/>
      <c r="J83" s="45"/>
      <c r="K83" s="6" t="str">
        <f t="shared" si="5"/>
        <v>ZACH ERTZ</v>
      </c>
      <c r="L83" s="7" t="str">
        <f t="shared" si="6"/>
        <v>TE</v>
      </c>
      <c r="M83" s="52">
        <f t="shared" si="7"/>
        <v>95.8</v>
      </c>
      <c r="N83" s="62">
        <f t="shared" si="8"/>
        <v>18</v>
      </c>
      <c r="O83" s="4">
        <v>0</v>
      </c>
      <c r="P83" s="11"/>
      <c r="Q83" s="59"/>
      <c r="R83" s="66">
        <f>M83/N83</f>
        <v>5.322222222222222</v>
      </c>
      <c r="S83" s="5" t="s">
        <v>383</v>
      </c>
      <c r="T83" s="5" t="s">
        <v>3</v>
      </c>
      <c r="U83" s="5">
        <v>95.8</v>
      </c>
      <c r="V83" s="5">
        <v>18</v>
      </c>
    </row>
    <row r="84" spans="6:22" x14ac:dyDescent="0.35">
      <c r="F84" s="16"/>
      <c r="G84" s="16"/>
      <c r="H84" s="16"/>
      <c r="J84" s="45"/>
      <c r="K84" s="6" t="str">
        <f t="shared" si="5"/>
        <v>DELANIE WALKER</v>
      </c>
      <c r="L84" s="7" t="str">
        <f t="shared" si="6"/>
        <v>TE</v>
      </c>
      <c r="M84" s="52">
        <f t="shared" si="7"/>
        <v>90.6</v>
      </c>
      <c r="N84" s="62">
        <f t="shared" si="8"/>
        <v>15</v>
      </c>
      <c r="O84" s="4">
        <v>0</v>
      </c>
      <c r="P84" s="11"/>
      <c r="Q84" s="59"/>
      <c r="R84" s="66">
        <f>M84/N84</f>
        <v>6.04</v>
      </c>
      <c r="S84" s="5" t="s">
        <v>276</v>
      </c>
      <c r="T84" s="5" t="s">
        <v>3</v>
      </c>
      <c r="U84" s="5">
        <v>90.6</v>
      </c>
      <c r="V84" s="5">
        <v>15</v>
      </c>
    </row>
    <row r="85" spans="6:22" x14ac:dyDescent="0.35">
      <c r="F85" s="16"/>
      <c r="G85" s="16"/>
      <c r="H85" s="16"/>
      <c r="J85" s="45"/>
      <c r="K85" s="6" t="str">
        <f t="shared" si="5"/>
        <v>JORDAN CAMERON</v>
      </c>
      <c r="L85" s="7" t="str">
        <f t="shared" si="6"/>
        <v>TE</v>
      </c>
      <c r="M85" s="52">
        <f t="shared" si="7"/>
        <v>88.5</v>
      </c>
      <c r="N85" s="62">
        <f t="shared" si="8"/>
        <v>9</v>
      </c>
      <c r="O85" s="4">
        <v>0</v>
      </c>
      <c r="P85" s="11"/>
      <c r="Q85" s="59"/>
      <c r="R85" s="66">
        <f>M85/N85</f>
        <v>9.8333333333333339</v>
      </c>
      <c r="S85" s="5" t="s">
        <v>312</v>
      </c>
      <c r="T85" s="5" t="s">
        <v>3</v>
      </c>
      <c r="U85" s="5">
        <v>88.5</v>
      </c>
      <c r="V85" s="5">
        <v>9</v>
      </c>
    </row>
    <row r="86" spans="6:22" x14ac:dyDescent="0.35">
      <c r="F86" s="16"/>
      <c r="G86" s="16"/>
      <c r="H86" s="16"/>
      <c r="J86" s="45"/>
      <c r="K86" s="6" t="str">
        <f t="shared" si="5"/>
        <v>DWAYNE ALLEN</v>
      </c>
      <c r="L86" s="7" t="str">
        <f t="shared" si="6"/>
        <v>TE</v>
      </c>
      <c r="M86" s="52">
        <f t="shared" si="7"/>
        <v>88.1</v>
      </c>
      <c r="N86" s="62">
        <f t="shared" si="8"/>
        <v>2</v>
      </c>
      <c r="O86" s="4">
        <v>1</v>
      </c>
      <c r="P86" s="11"/>
      <c r="Q86" s="59"/>
      <c r="R86" s="66">
        <f>M86/N86</f>
        <v>44.05</v>
      </c>
      <c r="S86" s="5" t="s">
        <v>287</v>
      </c>
      <c r="T86" s="5" t="s">
        <v>3</v>
      </c>
      <c r="U86" s="5">
        <v>88.1</v>
      </c>
      <c r="V86" s="5">
        <v>2</v>
      </c>
    </row>
    <row r="87" spans="6:22" x14ac:dyDescent="0.35">
      <c r="F87" s="16"/>
      <c r="G87" s="16"/>
      <c r="H87" s="16"/>
      <c r="J87" s="45"/>
      <c r="K87" s="6" t="str">
        <f t="shared" si="5"/>
        <v>KYLE RUDOLPH</v>
      </c>
      <c r="L87" s="7" t="str">
        <f t="shared" si="6"/>
        <v>TE</v>
      </c>
      <c r="M87" s="52">
        <f t="shared" si="7"/>
        <v>85.4</v>
      </c>
      <c r="N87" s="62">
        <f t="shared" si="8"/>
        <v>7</v>
      </c>
      <c r="O87" s="4">
        <v>0</v>
      </c>
      <c r="P87" s="11"/>
      <c r="Q87" s="59"/>
      <c r="R87" s="66">
        <f>M87/N87</f>
        <v>12.200000000000001</v>
      </c>
      <c r="S87" s="5" t="s">
        <v>325</v>
      </c>
      <c r="T87" s="5" t="s">
        <v>3</v>
      </c>
      <c r="U87" s="5">
        <v>85.4</v>
      </c>
      <c r="V87" s="5">
        <v>7</v>
      </c>
    </row>
    <row r="88" spans="6:22" x14ac:dyDescent="0.35">
      <c r="F88" s="16"/>
      <c r="G88" s="16"/>
      <c r="H88" s="16"/>
      <c r="J88" s="45"/>
      <c r="K88" s="6" t="str">
        <f t="shared" si="5"/>
        <v>COBY FLEENER</v>
      </c>
      <c r="L88" s="7" t="str">
        <f t="shared" si="6"/>
        <v>TE</v>
      </c>
      <c r="M88" s="52">
        <f t="shared" si="7"/>
        <v>85.3</v>
      </c>
      <c r="N88" s="62">
        <f t="shared" si="8"/>
        <v>2</v>
      </c>
      <c r="O88" s="4">
        <v>0</v>
      </c>
      <c r="P88" s="11"/>
      <c r="Q88" s="59"/>
      <c r="R88" s="66">
        <f>M88/N88</f>
        <v>42.65</v>
      </c>
      <c r="S88" s="5" t="s">
        <v>268</v>
      </c>
      <c r="T88" s="5" t="s">
        <v>3</v>
      </c>
      <c r="U88" s="5">
        <v>85.3</v>
      </c>
      <c r="V88" s="5">
        <v>2</v>
      </c>
    </row>
    <row r="89" spans="6:22" x14ac:dyDescent="0.35">
      <c r="F89" s="16"/>
      <c r="G89" s="16"/>
      <c r="H89" s="16"/>
      <c r="J89" s="45"/>
      <c r="K89" s="6" t="str">
        <f t="shared" si="5"/>
        <v>OWEN DANIELS</v>
      </c>
      <c r="L89" s="7" t="str">
        <f t="shared" si="6"/>
        <v>TE</v>
      </c>
      <c r="M89" s="52">
        <f t="shared" si="7"/>
        <v>84.1</v>
      </c>
      <c r="N89" s="62">
        <f t="shared" si="8"/>
        <v>5</v>
      </c>
      <c r="O89" s="4">
        <v>0</v>
      </c>
      <c r="P89" s="11"/>
      <c r="Q89" s="59"/>
      <c r="R89" s="66">
        <f>M89/N89</f>
        <v>16.82</v>
      </c>
      <c r="S89" s="5" t="s">
        <v>350</v>
      </c>
      <c r="T89" s="5" t="s">
        <v>3</v>
      </c>
      <c r="U89" s="5">
        <v>84.1</v>
      </c>
      <c r="V89" s="5">
        <v>5</v>
      </c>
    </row>
    <row r="90" spans="6:22" x14ac:dyDescent="0.35">
      <c r="F90" s="16"/>
      <c r="G90" s="16"/>
      <c r="H90" s="16"/>
      <c r="J90" s="45"/>
      <c r="K90" s="6" t="str">
        <f t="shared" si="5"/>
        <v>ANTONIO GATES</v>
      </c>
      <c r="L90" s="7" t="str">
        <f t="shared" si="6"/>
        <v>TE</v>
      </c>
      <c r="M90" s="52">
        <f t="shared" si="7"/>
        <v>83.3</v>
      </c>
      <c r="N90" s="62">
        <f t="shared" si="8"/>
        <v>1</v>
      </c>
      <c r="O90" s="4">
        <v>0</v>
      </c>
      <c r="P90" s="11"/>
      <c r="Q90" s="59"/>
      <c r="R90" s="66">
        <f>M90/N90</f>
        <v>83.3</v>
      </c>
      <c r="S90" s="5" t="s">
        <v>248</v>
      </c>
      <c r="T90" s="5" t="s">
        <v>3</v>
      </c>
      <c r="U90" s="5">
        <v>83.3</v>
      </c>
      <c r="V90" s="5">
        <v>1</v>
      </c>
    </row>
    <row r="91" spans="6:22" x14ac:dyDescent="0.35">
      <c r="F91" s="16"/>
      <c r="G91" s="16"/>
      <c r="H91" s="16"/>
      <c r="J91" s="45"/>
      <c r="K91" s="6" t="str">
        <f t="shared" si="5"/>
        <v>HEATH MILLER</v>
      </c>
      <c r="L91" s="7" t="str">
        <f t="shared" si="6"/>
        <v>TE</v>
      </c>
      <c r="M91" s="52">
        <f t="shared" si="7"/>
        <v>81.3</v>
      </c>
      <c r="N91" s="62">
        <f t="shared" si="8"/>
        <v>7</v>
      </c>
      <c r="O91" s="4">
        <v>0</v>
      </c>
      <c r="P91" s="11"/>
      <c r="Q91" s="59"/>
      <c r="R91" s="66">
        <f>M91/N91</f>
        <v>11.614285714285714</v>
      </c>
      <c r="S91" s="5" t="s">
        <v>298</v>
      </c>
      <c r="T91" s="5" t="s">
        <v>3</v>
      </c>
      <c r="U91" s="5">
        <v>81.3</v>
      </c>
      <c r="V91" s="5">
        <v>7</v>
      </c>
    </row>
    <row r="92" spans="6:22" x14ac:dyDescent="0.35">
      <c r="F92" s="16"/>
      <c r="G92" s="16"/>
      <c r="H92" s="16"/>
      <c r="J92" s="45"/>
      <c r="K92" s="6" t="str">
        <f t="shared" si="5"/>
        <v>JORDAN REED</v>
      </c>
      <c r="L92" s="7" t="str">
        <f t="shared" si="6"/>
        <v>TE</v>
      </c>
      <c r="M92" s="52">
        <f t="shared" si="7"/>
        <v>80.5</v>
      </c>
      <c r="N92" s="62">
        <f t="shared" si="8"/>
        <v>9</v>
      </c>
      <c r="O92" s="4">
        <v>0</v>
      </c>
      <c r="P92" s="11"/>
      <c r="Q92" s="59"/>
      <c r="R92" s="66">
        <f>M92/N92</f>
        <v>8.9444444444444446</v>
      </c>
      <c r="S92" s="5" t="s">
        <v>314</v>
      </c>
      <c r="T92" s="5" t="s">
        <v>3</v>
      </c>
      <c r="U92" s="5">
        <v>80.5</v>
      </c>
      <c r="V92" s="5">
        <v>9</v>
      </c>
    </row>
    <row r="93" spans="6:22" x14ac:dyDescent="0.35">
      <c r="F93" s="16"/>
      <c r="G93" s="16"/>
      <c r="H93" s="16"/>
      <c r="J93" s="45"/>
      <c r="K93" s="6" t="str">
        <f t="shared" si="5"/>
        <v>TYLER EIFERT</v>
      </c>
      <c r="L93" s="7" t="str">
        <f t="shared" si="6"/>
        <v>TE</v>
      </c>
      <c r="M93" s="52">
        <f t="shared" si="7"/>
        <v>76.8</v>
      </c>
      <c r="N93" s="62">
        <f t="shared" si="8"/>
        <v>2</v>
      </c>
      <c r="O93" s="4">
        <v>0</v>
      </c>
      <c r="P93" s="11"/>
      <c r="Q93" s="59"/>
      <c r="R93" s="66">
        <f>M93/N93</f>
        <v>38.4</v>
      </c>
      <c r="S93" s="5" t="s">
        <v>380</v>
      </c>
      <c r="T93" s="5" t="s">
        <v>3</v>
      </c>
      <c r="U93" s="5">
        <v>76.8</v>
      </c>
      <c r="V93" s="5">
        <v>2</v>
      </c>
    </row>
    <row r="94" spans="6:22" x14ac:dyDescent="0.35">
      <c r="F94" s="16"/>
      <c r="G94" s="16"/>
      <c r="H94" s="16"/>
      <c r="J94" s="45"/>
      <c r="K94" s="6" t="str">
        <f t="shared" si="5"/>
        <v>AUSTIN SEFERIAN-JENKINS</v>
      </c>
      <c r="L94" s="7" t="str">
        <f t="shared" si="6"/>
        <v>TE</v>
      </c>
      <c r="M94" s="52">
        <f t="shared" si="7"/>
        <v>75.8</v>
      </c>
      <c r="N94" s="62">
        <f t="shared" si="8"/>
        <v>1</v>
      </c>
      <c r="O94" s="4">
        <v>0</v>
      </c>
      <c r="P94" s="11"/>
      <c r="Q94" s="59"/>
      <c r="R94" s="66">
        <f>M94/N94</f>
        <v>75.8</v>
      </c>
      <c r="S94" s="5" t="s">
        <v>250</v>
      </c>
      <c r="T94" s="5" t="s">
        <v>3</v>
      </c>
      <c r="U94" s="5">
        <v>75.8</v>
      </c>
      <c r="V94" s="5">
        <v>1</v>
      </c>
    </row>
    <row r="95" spans="6:22" x14ac:dyDescent="0.35">
      <c r="F95" s="16"/>
      <c r="G95" s="16"/>
      <c r="H95" s="16"/>
      <c r="J95" s="45"/>
      <c r="K95" s="6" t="str">
        <f t="shared" si="5"/>
        <v>CHARLES CLAY</v>
      </c>
      <c r="L95" s="7" t="str">
        <f t="shared" si="6"/>
        <v>TE</v>
      </c>
      <c r="M95" s="52">
        <f t="shared" si="7"/>
        <v>75.599999999999994</v>
      </c>
      <c r="N95" s="62">
        <f t="shared" si="8"/>
        <v>1</v>
      </c>
      <c r="O95" s="4">
        <v>0</v>
      </c>
      <c r="P95" s="11"/>
      <c r="Q95" s="59"/>
      <c r="R95" s="66">
        <f>M95/N95</f>
        <v>75.599999999999994</v>
      </c>
      <c r="S95" s="5" t="s">
        <v>265</v>
      </c>
      <c r="T95" s="5" t="s">
        <v>3</v>
      </c>
      <c r="U95" s="5">
        <v>75.599999999999994</v>
      </c>
      <c r="V95" s="5">
        <v>1</v>
      </c>
    </row>
    <row r="96" spans="6:22" x14ac:dyDescent="0.35">
      <c r="F96" s="16"/>
      <c r="G96" s="16"/>
      <c r="H96" s="16"/>
      <c r="J96" s="45"/>
      <c r="K96" s="6" t="str">
        <f t="shared" si="5"/>
        <v>ANTONIO BROWN</v>
      </c>
      <c r="L96" s="7" t="str">
        <f t="shared" si="6"/>
        <v>WRX</v>
      </c>
      <c r="M96" s="52">
        <f t="shared" si="7"/>
        <v>212.2</v>
      </c>
      <c r="N96" s="62">
        <f t="shared" si="8"/>
        <v>150</v>
      </c>
      <c r="O96" s="4">
        <v>0</v>
      </c>
      <c r="P96" s="11"/>
      <c r="Q96" s="59"/>
      <c r="R96" s="66">
        <f>M96/N96</f>
        <v>1.4146666666666665</v>
      </c>
      <c r="S96" s="5" t="s">
        <v>247</v>
      </c>
      <c r="T96" s="5" t="s">
        <v>21</v>
      </c>
      <c r="U96" s="5">
        <v>212.2</v>
      </c>
      <c r="V96" s="5">
        <v>150</v>
      </c>
    </row>
    <row r="97" spans="6:22" x14ac:dyDescent="0.35">
      <c r="F97" s="16"/>
      <c r="G97" s="16"/>
      <c r="H97" s="16"/>
      <c r="J97" s="45"/>
      <c r="K97" s="6" t="str">
        <f t="shared" si="5"/>
        <v>DEMARYIUS THOMAS</v>
      </c>
      <c r="L97" s="7" t="str">
        <f t="shared" si="6"/>
        <v>WRX</v>
      </c>
      <c r="M97" s="52">
        <f t="shared" si="7"/>
        <v>207.4</v>
      </c>
      <c r="N97" s="62">
        <f t="shared" si="8"/>
        <v>132</v>
      </c>
      <c r="O97" s="4">
        <v>0</v>
      </c>
      <c r="P97" s="11"/>
      <c r="Q97" s="59"/>
      <c r="R97" s="66">
        <f>M97/N97</f>
        <v>1.5712121212121213</v>
      </c>
      <c r="S97" s="5" t="s">
        <v>278</v>
      </c>
      <c r="T97" s="5" t="s">
        <v>21</v>
      </c>
      <c r="U97" s="5">
        <v>207.4</v>
      </c>
      <c r="V97" s="5">
        <v>132</v>
      </c>
    </row>
    <row r="98" spans="6:22" x14ac:dyDescent="0.35">
      <c r="F98" s="16"/>
      <c r="G98" s="16"/>
      <c r="H98" s="16"/>
      <c r="J98" s="45"/>
      <c r="K98" s="6" t="str">
        <f t="shared" si="5"/>
        <v>ODELL BECKHAM</v>
      </c>
      <c r="L98" s="7" t="str">
        <f t="shared" si="6"/>
        <v>WRX</v>
      </c>
      <c r="M98" s="52">
        <f t="shared" si="7"/>
        <v>199.7</v>
      </c>
      <c r="N98" s="62">
        <f t="shared" si="8"/>
        <v>124</v>
      </c>
      <c r="O98" s="4">
        <v>0</v>
      </c>
      <c r="P98" s="11"/>
      <c r="Q98" s="59"/>
      <c r="R98" s="66">
        <f>M98/N98</f>
        <v>1.6104838709677418</v>
      </c>
      <c r="S98" s="5" t="s">
        <v>349</v>
      </c>
      <c r="T98" s="5" t="s">
        <v>21</v>
      </c>
      <c r="U98" s="5">
        <v>199.7</v>
      </c>
      <c r="V98" s="5">
        <v>124</v>
      </c>
    </row>
    <row r="99" spans="6:22" x14ac:dyDescent="0.35">
      <c r="F99" s="16"/>
      <c r="G99" s="16"/>
      <c r="H99" s="16"/>
      <c r="J99" s="45"/>
      <c r="K99" s="6" t="str">
        <f t="shared" si="5"/>
        <v>DEZ BRYANT</v>
      </c>
      <c r="L99" s="7" t="str">
        <f t="shared" si="6"/>
        <v>WRX</v>
      </c>
      <c r="M99" s="52">
        <f t="shared" si="7"/>
        <v>199.3</v>
      </c>
      <c r="N99" s="62">
        <f t="shared" si="8"/>
        <v>112</v>
      </c>
      <c r="O99" s="4">
        <v>1</v>
      </c>
      <c r="P99" s="11"/>
      <c r="Q99" s="59"/>
      <c r="R99" s="66">
        <f>M99/N99</f>
        <v>1.7794642857142857</v>
      </c>
      <c r="S99" s="5" t="s">
        <v>282</v>
      </c>
      <c r="T99" s="5" t="s">
        <v>21</v>
      </c>
      <c r="U99" s="5">
        <v>199.3</v>
      </c>
      <c r="V99" s="5">
        <v>112</v>
      </c>
    </row>
    <row r="100" spans="6:22" x14ac:dyDescent="0.35">
      <c r="F100" s="16"/>
      <c r="G100" s="16"/>
      <c r="H100" s="16"/>
      <c r="J100" s="45"/>
      <c r="K100" s="6" t="str">
        <f t="shared" si="5"/>
        <v>CALVIN JOHNSON</v>
      </c>
      <c r="L100" s="7" t="str">
        <f t="shared" si="6"/>
        <v>WRX</v>
      </c>
      <c r="M100" s="52">
        <f t="shared" si="7"/>
        <v>190.5</v>
      </c>
      <c r="N100" s="62">
        <f t="shared" si="8"/>
        <v>101</v>
      </c>
      <c r="O100" s="4">
        <v>0</v>
      </c>
      <c r="P100" s="11"/>
      <c r="Q100" s="59"/>
      <c r="R100" s="66">
        <f>M100/N100</f>
        <v>1.886138613861386</v>
      </c>
      <c r="S100" s="5" t="s">
        <v>261</v>
      </c>
      <c r="T100" s="5" t="s">
        <v>21</v>
      </c>
      <c r="U100" s="5">
        <v>190.5</v>
      </c>
      <c r="V100" s="5">
        <v>101</v>
      </c>
    </row>
    <row r="101" spans="6:22" x14ac:dyDescent="0.35">
      <c r="F101" s="16"/>
      <c r="G101" s="16"/>
      <c r="H101" s="16"/>
      <c r="J101" s="45"/>
      <c r="K101" s="6" t="str">
        <f t="shared" si="5"/>
        <v>JULIO JONES</v>
      </c>
      <c r="L101" s="7" t="str">
        <f t="shared" si="6"/>
        <v>WRX</v>
      </c>
      <c r="M101" s="52">
        <f t="shared" si="7"/>
        <v>190.1</v>
      </c>
      <c r="N101" s="62">
        <f t="shared" si="8"/>
        <v>117</v>
      </c>
      <c r="O101" s="4">
        <v>0</v>
      </c>
      <c r="P101" s="11"/>
      <c r="Q101" s="59"/>
      <c r="R101" s="66">
        <f>M101/N101</f>
        <v>1.6247863247863248</v>
      </c>
      <c r="S101" s="5" t="s">
        <v>317</v>
      </c>
      <c r="T101" s="5" t="s">
        <v>21</v>
      </c>
      <c r="U101" s="5">
        <v>190.1</v>
      </c>
      <c r="V101" s="5">
        <v>117</v>
      </c>
    </row>
    <row r="102" spans="6:22" x14ac:dyDescent="0.35">
      <c r="F102" s="16"/>
      <c r="G102" s="16"/>
      <c r="H102" s="16"/>
      <c r="J102" s="45"/>
      <c r="K102" s="6" t="str">
        <f t="shared" si="5"/>
        <v>RANDALL COBB</v>
      </c>
      <c r="L102" s="7" t="str">
        <f t="shared" si="6"/>
        <v>WRX</v>
      </c>
      <c r="M102" s="52">
        <f t="shared" si="7"/>
        <v>187.4</v>
      </c>
      <c r="N102" s="62">
        <f t="shared" si="8"/>
        <v>103</v>
      </c>
      <c r="O102" s="4">
        <v>0</v>
      </c>
      <c r="P102" s="11"/>
      <c r="Q102" s="59"/>
      <c r="R102" s="66">
        <f>M102/N102</f>
        <v>1.8194174757281554</v>
      </c>
      <c r="S102" s="5" t="s">
        <v>355</v>
      </c>
      <c r="T102" s="5" t="s">
        <v>21</v>
      </c>
      <c r="U102" s="5">
        <v>187.4</v>
      </c>
      <c r="V102" s="5">
        <v>103</v>
      </c>
    </row>
    <row r="103" spans="6:22" x14ac:dyDescent="0.35">
      <c r="F103" s="16"/>
      <c r="G103" s="16"/>
      <c r="H103" s="16"/>
      <c r="J103" s="45"/>
      <c r="K103" s="6" t="str">
        <f t="shared" si="5"/>
        <v>A.J. GREEN</v>
      </c>
      <c r="L103" s="7" t="str">
        <f t="shared" si="6"/>
        <v>WRX</v>
      </c>
      <c r="M103" s="52">
        <f t="shared" si="7"/>
        <v>176</v>
      </c>
      <c r="N103" s="62">
        <f t="shared" si="8"/>
        <v>94</v>
      </c>
      <c r="O103" s="4">
        <v>0</v>
      </c>
      <c r="P103" s="11"/>
      <c r="Q103" s="59"/>
      <c r="R103" s="66">
        <f>M103/N103</f>
        <v>1.8723404255319149</v>
      </c>
      <c r="S103" s="5" t="s">
        <v>231</v>
      </c>
      <c r="T103" s="5" t="s">
        <v>21</v>
      </c>
      <c r="U103" s="5">
        <v>176</v>
      </c>
      <c r="V103" s="5">
        <v>94</v>
      </c>
    </row>
    <row r="104" spans="6:22" x14ac:dyDescent="0.35">
      <c r="F104" s="16"/>
      <c r="G104" s="16"/>
      <c r="H104" s="16"/>
      <c r="J104" s="45"/>
      <c r="K104" s="6" t="str">
        <f t="shared" si="5"/>
        <v>ALSHON JEFFERY</v>
      </c>
      <c r="L104" s="7" t="str">
        <f t="shared" si="6"/>
        <v>WR</v>
      </c>
      <c r="M104" s="52">
        <f t="shared" si="7"/>
        <v>170.6</v>
      </c>
      <c r="N104" s="62">
        <f t="shared" si="8"/>
        <v>82</v>
      </c>
      <c r="O104" s="4">
        <v>0</v>
      </c>
      <c r="P104" s="11"/>
      <c r="Q104" s="59"/>
      <c r="R104" s="66">
        <f>M104/N104</f>
        <v>2.0804878048780489</v>
      </c>
      <c r="S104" s="5" t="s">
        <v>239</v>
      </c>
      <c r="T104" s="5" t="s">
        <v>2</v>
      </c>
      <c r="U104" s="5">
        <v>170.6</v>
      </c>
      <c r="V104" s="5">
        <v>82</v>
      </c>
    </row>
    <row r="105" spans="6:22" x14ac:dyDescent="0.35">
      <c r="F105" s="16"/>
      <c r="G105" s="16"/>
      <c r="H105" s="16"/>
      <c r="J105" s="45"/>
      <c r="K105" s="6" t="str">
        <f t="shared" si="5"/>
        <v>MIKE EVANS</v>
      </c>
      <c r="L105" s="7" t="str">
        <f t="shared" si="6"/>
        <v>WR</v>
      </c>
      <c r="M105" s="52">
        <f t="shared" si="7"/>
        <v>166.3</v>
      </c>
      <c r="N105" s="62">
        <f t="shared" si="8"/>
        <v>71</v>
      </c>
      <c r="O105" s="4">
        <v>1</v>
      </c>
      <c r="P105" s="11"/>
      <c r="Q105" s="59"/>
      <c r="R105" s="66">
        <f>M105/N105</f>
        <v>2.3422535211267608</v>
      </c>
      <c r="S105" s="5" t="s">
        <v>346</v>
      </c>
      <c r="T105" s="5" t="s">
        <v>2</v>
      </c>
      <c r="U105" s="5">
        <v>166.3</v>
      </c>
      <c r="V105" s="5">
        <v>71</v>
      </c>
    </row>
    <row r="106" spans="6:22" x14ac:dyDescent="0.35">
      <c r="F106" s="16"/>
      <c r="G106" s="16"/>
      <c r="H106" s="16"/>
      <c r="J106" s="45"/>
      <c r="K106" s="6" t="str">
        <f t="shared" si="5"/>
        <v>T.Y. HILTON</v>
      </c>
      <c r="L106" s="7" t="str">
        <f t="shared" si="6"/>
        <v>WR</v>
      </c>
      <c r="M106" s="52">
        <f t="shared" si="7"/>
        <v>164.2</v>
      </c>
      <c r="N106" s="62">
        <f t="shared" si="8"/>
        <v>74</v>
      </c>
      <c r="O106" s="4">
        <v>0</v>
      </c>
      <c r="P106" s="11"/>
      <c r="Q106" s="59"/>
      <c r="R106" s="66">
        <f>M106/N106</f>
        <v>2.2189189189189187</v>
      </c>
      <c r="S106" s="5" t="s">
        <v>370</v>
      </c>
      <c r="T106" s="5" t="s">
        <v>2</v>
      </c>
      <c r="U106" s="5">
        <v>164.2</v>
      </c>
      <c r="V106" s="5">
        <v>74</v>
      </c>
    </row>
    <row r="107" spans="6:22" x14ac:dyDescent="0.35">
      <c r="F107" s="16"/>
      <c r="G107" s="16"/>
      <c r="H107" s="16"/>
      <c r="J107" s="45"/>
      <c r="K107" s="6" t="str">
        <f t="shared" si="5"/>
        <v>EMMANUEL SANDERS</v>
      </c>
      <c r="L107" s="7" t="str">
        <f t="shared" si="6"/>
        <v>WR</v>
      </c>
      <c r="M107" s="52">
        <f t="shared" si="7"/>
        <v>159.5</v>
      </c>
      <c r="N107" s="62">
        <f t="shared" si="8"/>
        <v>68</v>
      </c>
      <c r="O107" s="4">
        <v>0</v>
      </c>
      <c r="P107" s="11"/>
      <c r="Q107" s="59"/>
      <c r="R107" s="66">
        <f>M107/N107</f>
        <v>2.3455882352941178</v>
      </c>
      <c r="S107" s="5" t="s">
        <v>292</v>
      </c>
      <c r="T107" s="5" t="s">
        <v>2</v>
      </c>
      <c r="U107" s="5">
        <v>159.5</v>
      </c>
      <c r="V107" s="5">
        <v>68</v>
      </c>
    </row>
    <row r="108" spans="6:22" x14ac:dyDescent="0.35">
      <c r="F108" s="16"/>
      <c r="G108" s="16"/>
      <c r="H108" s="16"/>
      <c r="J108" s="45"/>
      <c r="K108" s="6" t="str">
        <f t="shared" si="5"/>
        <v>BRANDIN COOKS</v>
      </c>
      <c r="L108" s="7" t="str">
        <f t="shared" si="6"/>
        <v>WR</v>
      </c>
      <c r="M108" s="52">
        <f t="shared" si="7"/>
        <v>148.9</v>
      </c>
      <c r="N108" s="62">
        <f t="shared" si="8"/>
        <v>64</v>
      </c>
      <c r="O108" s="4">
        <v>0</v>
      </c>
      <c r="P108" s="11"/>
      <c r="Q108" s="59"/>
      <c r="R108" s="66">
        <f>M108/N108</f>
        <v>2.3265625000000001</v>
      </c>
      <c r="S108" s="5" t="s">
        <v>254</v>
      </c>
      <c r="T108" s="5" t="s">
        <v>2</v>
      </c>
      <c r="U108" s="5">
        <v>148.9</v>
      </c>
      <c r="V108" s="5">
        <v>64</v>
      </c>
    </row>
    <row r="109" spans="6:22" x14ac:dyDescent="0.35">
      <c r="F109" s="16"/>
      <c r="G109" s="16"/>
      <c r="H109" s="16"/>
      <c r="J109" s="45"/>
      <c r="K109" s="6" t="str">
        <f t="shared" si="5"/>
        <v>DEANDRE HOPKINS</v>
      </c>
      <c r="L109" s="7" t="str">
        <f t="shared" si="6"/>
        <v>WR</v>
      </c>
      <c r="M109" s="52">
        <f t="shared" si="7"/>
        <v>147.9</v>
      </c>
      <c r="N109" s="62">
        <f t="shared" si="8"/>
        <v>59</v>
      </c>
      <c r="O109" s="4">
        <v>0</v>
      </c>
      <c r="P109" s="11"/>
      <c r="Q109" s="59"/>
      <c r="R109" s="66">
        <f>M109/N109</f>
        <v>2.506779661016949</v>
      </c>
      <c r="S109" s="5" t="s">
        <v>275</v>
      </c>
      <c r="T109" s="5" t="s">
        <v>2</v>
      </c>
      <c r="U109" s="5">
        <v>147.9</v>
      </c>
      <c r="V109" s="5">
        <v>59</v>
      </c>
    </row>
    <row r="110" spans="6:22" x14ac:dyDescent="0.35">
      <c r="F110" s="16"/>
      <c r="G110" s="16"/>
      <c r="H110" s="16"/>
      <c r="J110" s="45"/>
      <c r="K110" s="6" t="str">
        <f t="shared" si="5"/>
        <v>JORDAN MATTHEWS</v>
      </c>
      <c r="L110" s="7" t="str">
        <f t="shared" si="6"/>
        <v>WR</v>
      </c>
      <c r="M110" s="52">
        <f t="shared" si="7"/>
        <v>142.6</v>
      </c>
      <c r="N110" s="62">
        <f t="shared" si="8"/>
        <v>50</v>
      </c>
      <c r="O110" s="4">
        <v>0</v>
      </c>
      <c r="P110" s="11"/>
      <c r="Q110" s="59"/>
      <c r="R110" s="66">
        <f>M110/N110</f>
        <v>2.8519999999999999</v>
      </c>
      <c r="S110" s="5" t="s">
        <v>313</v>
      </c>
      <c r="T110" s="5" t="s">
        <v>2</v>
      </c>
      <c r="U110" s="5">
        <v>142.6</v>
      </c>
      <c r="V110" s="5">
        <v>50</v>
      </c>
    </row>
    <row r="111" spans="6:22" x14ac:dyDescent="0.35">
      <c r="F111" s="16"/>
      <c r="G111" s="16"/>
      <c r="H111" s="16"/>
      <c r="J111" s="45"/>
      <c r="K111" s="6" t="str">
        <f t="shared" si="5"/>
        <v>JULIAN EDELMAN</v>
      </c>
      <c r="L111" s="7" t="str">
        <f t="shared" si="6"/>
        <v>WR</v>
      </c>
      <c r="M111" s="52">
        <f t="shared" si="7"/>
        <v>140.1</v>
      </c>
      <c r="N111" s="62">
        <f t="shared" si="8"/>
        <v>63</v>
      </c>
      <c r="O111" s="4">
        <v>0</v>
      </c>
      <c r="P111" s="11"/>
      <c r="Q111" s="59"/>
      <c r="R111" s="66">
        <f>M111/N111</f>
        <v>2.2238095238095239</v>
      </c>
      <c r="S111" s="5" t="s">
        <v>316</v>
      </c>
      <c r="T111" s="5" t="s">
        <v>2</v>
      </c>
      <c r="U111" s="5">
        <v>140.1</v>
      </c>
      <c r="V111" s="5">
        <v>63</v>
      </c>
    </row>
    <row r="112" spans="6:22" x14ac:dyDescent="0.35">
      <c r="F112" s="16"/>
      <c r="G112" s="16"/>
      <c r="H112" s="16"/>
      <c r="J112" s="45"/>
      <c r="K112" s="6" t="str">
        <f t="shared" si="5"/>
        <v>DESEAN JACKSON</v>
      </c>
      <c r="L112" s="7" t="str">
        <f t="shared" si="6"/>
        <v>WR</v>
      </c>
      <c r="M112" s="52">
        <f t="shared" si="7"/>
        <v>138.80000000000001</v>
      </c>
      <c r="N112" s="62">
        <f t="shared" si="8"/>
        <v>41</v>
      </c>
      <c r="O112" s="4">
        <v>0</v>
      </c>
      <c r="P112" s="11"/>
      <c r="Q112" s="59"/>
      <c r="R112" s="66">
        <f>M112/N112</f>
        <v>3.3853658536585369</v>
      </c>
      <c r="S112" s="5" t="s">
        <v>279</v>
      </c>
      <c r="T112" s="5" t="s">
        <v>2</v>
      </c>
      <c r="U112" s="5">
        <v>138.80000000000001</v>
      </c>
      <c r="V112" s="5">
        <v>41</v>
      </c>
    </row>
    <row r="113" spans="6:22" x14ac:dyDescent="0.35">
      <c r="F113" s="16"/>
      <c r="G113" s="16"/>
      <c r="H113" s="16"/>
      <c r="J113" s="45"/>
      <c r="K113" s="6" t="str">
        <f t="shared" si="5"/>
        <v>ANDRE JOHNSON</v>
      </c>
      <c r="L113" s="7" t="str">
        <f t="shared" si="6"/>
        <v>WR</v>
      </c>
      <c r="M113" s="52">
        <f t="shared" si="7"/>
        <v>136.4</v>
      </c>
      <c r="N113" s="62">
        <f t="shared" si="8"/>
        <v>48</v>
      </c>
      <c r="O113" s="4">
        <v>0</v>
      </c>
      <c r="P113" s="11"/>
      <c r="Q113" s="59"/>
      <c r="R113" s="66">
        <f>M113/N113</f>
        <v>2.8416666666666668</v>
      </c>
      <c r="S113" s="5" t="s">
        <v>243</v>
      </c>
      <c r="T113" s="5" t="s">
        <v>2</v>
      </c>
      <c r="U113" s="5">
        <v>136.4</v>
      </c>
      <c r="V113" s="5">
        <v>48</v>
      </c>
    </row>
    <row r="114" spans="6:22" x14ac:dyDescent="0.35">
      <c r="F114" s="16"/>
      <c r="G114" s="16"/>
      <c r="H114" s="16"/>
      <c r="J114" s="45"/>
      <c r="K114" s="6" t="str">
        <f t="shared" si="5"/>
        <v>GOLDEN TATE</v>
      </c>
      <c r="L114" s="7" t="str">
        <f t="shared" si="6"/>
        <v>WR</v>
      </c>
      <c r="M114" s="52">
        <f t="shared" si="7"/>
        <v>136.19999999999999</v>
      </c>
      <c r="N114" s="62">
        <f t="shared" si="8"/>
        <v>50</v>
      </c>
      <c r="O114" s="4">
        <v>0</v>
      </c>
      <c r="P114" s="11"/>
      <c r="Q114" s="59"/>
      <c r="R114" s="66">
        <f>M114/N114</f>
        <v>2.7239999999999998</v>
      </c>
      <c r="S114" s="5" t="s">
        <v>296</v>
      </c>
      <c r="T114" s="5" t="s">
        <v>2</v>
      </c>
      <c r="U114" s="5">
        <v>136.19999999999999</v>
      </c>
      <c r="V114" s="5">
        <v>50</v>
      </c>
    </row>
    <row r="115" spans="6:22" x14ac:dyDescent="0.35">
      <c r="F115" s="16"/>
      <c r="G115" s="16"/>
      <c r="H115" s="16"/>
      <c r="J115" s="45"/>
      <c r="K115" s="6" t="str">
        <f t="shared" si="5"/>
        <v>KEENAN ALLEN</v>
      </c>
      <c r="L115" s="7" t="str">
        <f t="shared" si="6"/>
        <v>WR</v>
      </c>
      <c r="M115" s="52">
        <f t="shared" si="7"/>
        <v>133.9</v>
      </c>
      <c r="N115" s="62">
        <f t="shared" si="8"/>
        <v>48</v>
      </c>
      <c r="O115" s="4">
        <v>0</v>
      </c>
      <c r="P115" s="11"/>
      <c r="Q115" s="59"/>
      <c r="R115" s="66">
        <f>M115/N115</f>
        <v>2.7895833333333333</v>
      </c>
      <c r="S115" s="5" t="s">
        <v>320</v>
      </c>
      <c r="T115" s="5" t="s">
        <v>2</v>
      </c>
      <c r="U115" s="5">
        <v>133.9</v>
      </c>
      <c r="V115" s="5">
        <v>48</v>
      </c>
    </row>
    <row r="116" spans="6:22" x14ac:dyDescent="0.35">
      <c r="F116" s="16"/>
      <c r="G116" s="16"/>
      <c r="H116" s="16"/>
      <c r="J116" s="45"/>
      <c r="K116" s="6" t="str">
        <f t="shared" si="5"/>
        <v>SAMMY WATKINS</v>
      </c>
      <c r="L116" s="7" t="str">
        <f t="shared" si="6"/>
        <v>WR</v>
      </c>
      <c r="M116" s="52">
        <f t="shared" si="7"/>
        <v>133.4</v>
      </c>
      <c r="N116" s="62">
        <f t="shared" si="8"/>
        <v>38</v>
      </c>
      <c r="O116" s="4">
        <v>0</v>
      </c>
      <c r="P116" s="11"/>
      <c r="Q116" s="59"/>
      <c r="R116" s="66">
        <f>M116/N116</f>
        <v>3.5105263157894737</v>
      </c>
      <c r="S116" s="5" t="s">
        <v>366</v>
      </c>
      <c r="T116" s="5" t="s">
        <v>2</v>
      </c>
      <c r="U116" s="5">
        <v>133.4</v>
      </c>
      <c r="V116" s="5">
        <v>38</v>
      </c>
    </row>
    <row r="117" spans="6:22" x14ac:dyDescent="0.35">
      <c r="F117" s="16"/>
      <c r="G117" s="16"/>
      <c r="H117" s="16"/>
      <c r="J117" s="45"/>
      <c r="K117" s="6" t="str">
        <f t="shared" si="5"/>
        <v>DAVANTE ADAMS</v>
      </c>
      <c r="L117" s="7" t="str">
        <f t="shared" si="6"/>
        <v>WR</v>
      </c>
      <c r="M117" s="52">
        <f t="shared" si="7"/>
        <v>132.19999999999999</v>
      </c>
      <c r="N117" s="62">
        <f t="shared" si="8"/>
        <v>40</v>
      </c>
      <c r="O117" s="4">
        <v>0</v>
      </c>
      <c r="P117" s="11"/>
      <c r="Q117" s="59"/>
      <c r="R117" s="66">
        <f>M117/N117</f>
        <v>3.3049999999999997</v>
      </c>
      <c r="S117" s="5" t="s">
        <v>273</v>
      </c>
      <c r="T117" s="5" t="s">
        <v>2</v>
      </c>
      <c r="U117" s="5">
        <v>132.19999999999999</v>
      </c>
      <c r="V117" s="5">
        <v>40</v>
      </c>
    </row>
    <row r="118" spans="6:22" x14ac:dyDescent="0.35">
      <c r="F118" s="16"/>
      <c r="G118" s="16"/>
      <c r="H118" s="16"/>
      <c r="J118" s="45"/>
      <c r="K118" s="6" t="str">
        <f t="shared" si="5"/>
        <v>JEREMY MACLIN</v>
      </c>
      <c r="L118" s="7" t="str">
        <f t="shared" si="6"/>
        <v>WR</v>
      </c>
      <c r="M118" s="52">
        <f t="shared" si="7"/>
        <v>130</v>
      </c>
      <c r="N118" s="62">
        <f t="shared" si="8"/>
        <v>38</v>
      </c>
      <c r="O118" s="4">
        <v>0</v>
      </c>
      <c r="P118" s="11"/>
      <c r="Q118" s="59"/>
      <c r="R118" s="66">
        <f>M118/N118</f>
        <v>3.4210526315789473</v>
      </c>
      <c r="S118" s="5" t="s">
        <v>306</v>
      </c>
      <c r="T118" s="5" t="s">
        <v>2</v>
      </c>
      <c r="U118" s="5">
        <v>130</v>
      </c>
      <c r="V118" s="5">
        <v>38</v>
      </c>
    </row>
    <row r="119" spans="6:22" x14ac:dyDescent="0.35">
      <c r="F119" s="16"/>
      <c r="G119" s="16"/>
      <c r="H119" s="16"/>
      <c r="J119" s="45"/>
      <c r="K119" s="6" t="str">
        <f t="shared" si="5"/>
        <v>BRANDON MARSHALL</v>
      </c>
      <c r="L119" s="7" t="str">
        <f t="shared" si="6"/>
        <v>WR</v>
      </c>
      <c r="M119" s="52">
        <f t="shared" si="7"/>
        <v>129.19999999999999</v>
      </c>
      <c r="N119" s="62">
        <f t="shared" si="8"/>
        <v>39</v>
      </c>
      <c r="O119" s="4">
        <v>0</v>
      </c>
      <c r="P119" s="11"/>
      <c r="Q119" s="59"/>
      <c r="R119" s="66">
        <f>M119/N119</f>
        <v>3.3128205128205126</v>
      </c>
      <c r="S119" s="5" t="s">
        <v>256</v>
      </c>
      <c r="T119" s="5" t="s">
        <v>2</v>
      </c>
      <c r="U119" s="5">
        <v>129.19999999999999</v>
      </c>
      <c r="V119" s="5">
        <v>39</v>
      </c>
    </row>
    <row r="120" spans="6:22" x14ac:dyDescent="0.35">
      <c r="F120" s="16"/>
      <c r="G120" s="16"/>
      <c r="H120" s="16"/>
      <c r="J120" s="45"/>
      <c r="K120" s="6" t="str">
        <f t="shared" si="5"/>
        <v>VINCENT JACKSON</v>
      </c>
      <c r="L120" s="7" t="str">
        <f t="shared" si="6"/>
        <v>WR</v>
      </c>
      <c r="M120" s="52">
        <f t="shared" si="7"/>
        <v>125.8</v>
      </c>
      <c r="N120" s="62">
        <f t="shared" si="8"/>
        <v>31</v>
      </c>
      <c r="O120" s="4">
        <v>0</v>
      </c>
      <c r="P120" s="11"/>
      <c r="Q120" s="59"/>
      <c r="R120" s="66">
        <f>M120/N120</f>
        <v>4.0580645161290319</v>
      </c>
      <c r="S120" s="5" t="s">
        <v>382</v>
      </c>
      <c r="T120" s="5" t="s">
        <v>2</v>
      </c>
      <c r="U120" s="5">
        <v>125.8</v>
      </c>
      <c r="V120" s="5">
        <v>31</v>
      </c>
    </row>
    <row r="121" spans="6:22" x14ac:dyDescent="0.35">
      <c r="F121" s="16"/>
      <c r="G121" s="16"/>
      <c r="H121" s="16"/>
      <c r="J121" s="45"/>
      <c r="K121" s="6" t="str">
        <f t="shared" si="5"/>
        <v>AMARI COOPER</v>
      </c>
      <c r="L121" s="7" t="str">
        <f t="shared" si="6"/>
        <v>WR</v>
      </c>
      <c r="M121" s="52">
        <f t="shared" si="7"/>
        <v>121.6</v>
      </c>
      <c r="N121" s="62">
        <f t="shared" si="8"/>
        <v>31</v>
      </c>
      <c r="O121" s="4">
        <v>0</v>
      </c>
      <c r="P121" s="11"/>
      <c r="Q121" s="59"/>
      <c r="R121" s="66">
        <f>M121/N121</f>
        <v>3.9225806451612901</v>
      </c>
      <c r="S121" s="5" t="s">
        <v>240</v>
      </c>
      <c r="T121" s="5" t="s">
        <v>2</v>
      </c>
      <c r="U121" s="5">
        <v>121.6</v>
      </c>
      <c r="V121" s="5">
        <v>31</v>
      </c>
    </row>
    <row r="122" spans="6:22" x14ac:dyDescent="0.35">
      <c r="F122" s="16"/>
      <c r="G122" s="16"/>
      <c r="H122" s="16"/>
      <c r="J122" s="45"/>
      <c r="K122" s="6" t="str">
        <f t="shared" si="5"/>
        <v>MIKE WALLACE</v>
      </c>
      <c r="L122" s="7" t="str">
        <f t="shared" si="6"/>
        <v>WR</v>
      </c>
      <c r="M122" s="52">
        <f t="shared" si="7"/>
        <v>121.3</v>
      </c>
      <c r="N122" s="62">
        <f t="shared" si="8"/>
        <v>24</v>
      </c>
      <c r="O122" s="4">
        <v>0</v>
      </c>
      <c r="P122" s="11"/>
      <c r="Q122" s="59"/>
      <c r="R122" s="66">
        <f>M122/N122</f>
        <v>5.0541666666666663</v>
      </c>
      <c r="S122" s="5" t="s">
        <v>347</v>
      </c>
      <c r="T122" s="5" t="s">
        <v>2</v>
      </c>
      <c r="U122" s="5">
        <v>121.3</v>
      </c>
      <c r="V122" s="5">
        <v>24</v>
      </c>
    </row>
    <row r="123" spans="6:22" x14ac:dyDescent="0.35">
      <c r="F123" s="16"/>
      <c r="G123" s="16"/>
      <c r="H123" s="16"/>
      <c r="J123" s="45"/>
      <c r="K123" s="6" t="str">
        <f t="shared" si="5"/>
        <v>JARVIS LANDRY</v>
      </c>
      <c r="L123" s="7" t="str">
        <f t="shared" si="6"/>
        <v>WR</v>
      </c>
      <c r="M123" s="52">
        <f t="shared" si="7"/>
        <v>120.4</v>
      </c>
      <c r="N123" s="62">
        <f t="shared" si="8"/>
        <v>41</v>
      </c>
      <c r="O123" s="4">
        <v>0</v>
      </c>
      <c r="P123" s="11"/>
      <c r="Q123" s="59"/>
      <c r="R123" s="66">
        <f>M123/N123</f>
        <v>2.9365853658536585</v>
      </c>
      <c r="S123" s="5" t="s">
        <v>302</v>
      </c>
      <c r="T123" s="5" t="s">
        <v>2</v>
      </c>
      <c r="U123" s="5">
        <v>120.4</v>
      </c>
      <c r="V123" s="5">
        <v>41</v>
      </c>
    </row>
    <row r="124" spans="6:22" x14ac:dyDescent="0.35">
      <c r="F124" s="16"/>
      <c r="G124" s="16"/>
      <c r="H124" s="16"/>
      <c r="J124" s="45"/>
      <c r="K124" s="6" t="str">
        <f t="shared" si="5"/>
        <v>MARTAVIS BRYANT</v>
      </c>
      <c r="L124" s="7" t="str">
        <f t="shared" si="6"/>
        <v>WR</v>
      </c>
      <c r="M124" s="52">
        <f t="shared" si="7"/>
        <v>120.1</v>
      </c>
      <c r="N124" s="62">
        <f t="shared" si="8"/>
        <v>17</v>
      </c>
      <c r="O124" s="4">
        <v>0</v>
      </c>
      <c r="P124" s="11"/>
      <c r="Q124" s="59"/>
      <c r="R124" s="66">
        <f>M124/N124</f>
        <v>7.0647058823529409</v>
      </c>
      <c r="S124" s="5" t="s">
        <v>338</v>
      </c>
      <c r="T124" s="5" t="s">
        <v>2</v>
      </c>
      <c r="U124" s="5">
        <v>120.1</v>
      </c>
      <c r="V124" s="5">
        <v>17</v>
      </c>
    </row>
    <row r="125" spans="6:22" x14ac:dyDescent="0.35">
      <c r="F125" s="16"/>
      <c r="G125" s="16"/>
      <c r="H125" s="16"/>
      <c r="J125" s="45"/>
      <c r="K125" s="6" t="str">
        <f t="shared" si="5"/>
        <v>ERIC DECKER</v>
      </c>
      <c r="L125" s="7" t="str">
        <f t="shared" si="6"/>
        <v>WR</v>
      </c>
      <c r="M125" s="52">
        <f t="shared" si="7"/>
        <v>119.4</v>
      </c>
      <c r="N125" s="62">
        <f t="shared" si="8"/>
        <v>28</v>
      </c>
      <c r="O125" s="4">
        <v>0</v>
      </c>
      <c r="P125" s="11"/>
      <c r="Q125" s="59"/>
      <c r="R125" s="66">
        <f>M125/N125</f>
        <v>4.2642857142857142</v>
      </c>
      <c r="S125" s="5" t="s">
        <v>293</v>
      </c>
      <c r="T125" s="5" t="s">
        <v>2</v>
      </c>
      <c r="U125" s="5">
        <v>119.4</v>
      </c>
      <c r="V125" s="5">
        <v>28</v>
      </c>
    </row>
    <row r="126" spans="6:22" x14ac:dyDescent="0.35">
      <c r="F126" s="16"/>
      <c r="G126" s="16"/>
      <c r="H126" s="16"/>
      <c r="J126" s="45"/>
      <c r="K126" s="6" t="str">
        <f t="shared" si="5"/>
        <v>STEVE SMITH</v>
      </c>
      <c r="L126" s="7" t="str">
        <f t="shared" si="6"/>
        <v>WR</v>
      </c>
      <c r="M126" s="52">
        <f t="shared" si="7"/>
        <v>119.2</v>
      </c>
      <c r="N126" s="62">
        <f t="shared" si="8"/>
        <v>29</v>
      </c>
      <c r="O126" s="4">
        <v>0</v>
      </c>
      <c r="P126" s="11"/>
      <c r="Q126" s="59"/>
      <c r="R126" s="66">
        <f>M126/N126</f>
        <v>4.1103448275862071</v>
      </c>
      <c r="S126" s="5" t="s">
        <v>368</v>
      </c>
      <c r="T126" s="5" t="s">
        <v>2</v>
      </c>
      <c r="U126" s="5">
        <v>119.2</v>
      </c>
      <c r="V126" s="5">
        <v>29</v>
      </c>
    </row>
    <row r="127" spans="6:22" x14ac:dyDescent="0.35">
      <c r="F127" s="16"/>
      <c r="G127" s="16"/>
      <c r="H127" s="16"/>
      <c r="J127" s="45"/>
      <c r="K127" s="6" t="str">
        <f t="shared" si="5"/>
        <v>RODDY WHITE</v>
      </c>
      <c r="L127" s="7" t="str">
        <f t="shared" si="6"/>
        <v>WR</v>
      </c>
      <c r="M127" s="52">
        <f t="shared" si="7"/>
        <v>118.4</v>
      </c>
      <c r="N127" s="62">
        <f t="shared" si="8"/>
        <v>30</v>
      </c>
      <c r="O127" s="4">
        <v>0</v>
      </c>
      <c r="P127" s="11"/>
      <c r="Q127" s="59"/>
      <c r="R127" s="66">
        <f>M127/N127</f>
        <v>3.9466666666666668</v>
      </c>
      <c r="S127" s="5" t="s">
        <v>359</v>
      </c>
      <c r="T127" s="5" t="s">
        <v>2</v>
      </c>
      <c r="U127" s="5">
        <v>118.4</v>
      </c>
      <c r="V127" s="5">
        <v>30</v>
      </c>
    </row>
    <row r="128" spans="6:22" x14ac:dyDescent="0.35">
      <c r="F128" s="16"/>
      <c r="G128" s="16"/>
      <c r="H128" s="16"/>
      <c r="J128" s="45"/>
      <c r="K128" s="6" t="str">
        <f t="shared" si="5"/>
        <v>ANQUAN BOLDIN</v>
      </c>
      <c r="L128" s="7" t="str">
        <f t="shared" si="6"/>
        <v>WR</v>
      </c>
      <c r="M128" s="52">
        <f t="shared" si="7"/>
        <v>117.6</v>
      </c>
      <c r="N128" s="62">
        <f t="shared" si="8"/>
        <v>30</v>
      </c>
      <c r="O128" s="4">
        <v>0</v>
      </c>
      <c r="P128" s="11"/>
      <c r="Q128" s="59"/>
      <c r="R128" s="66">
        <f>M128/N128</f>
        <v>3.92</v>
      </c>
      <c r="S128" s="5" t="s">
        <v>246</v>
      </c>
      <c r="T128" s="5" t="s">
        <v>2</v>
      </c>
      <c r="U128" s="5">
        <v>117.6</v>
      </c>
      <c r="V128" s="5">
        <v>30</v>
      </c>
    </row>
    <row r="129" spans="6:22" x14ac:dyDescent="0.35">
      <c r="F129" s="16"/>
      <c r="G129" s="16"/>
      <c r="H129" s="16"/>
      <c r="J129" s="45"/>
      <c r="K129" s="6" t="str">
        <f t="shared" si="5"/>
        <v>ALLEN ROBINSON</v>
      </c>
      <c r="L129" s="7" t="str">
        <f t="shared" si="6"/>
        <v>WR</v>
      </c>
      <c r="M129" s="52">
        <f t="shared" si="7"/>
        <v>117.5</v>
      </c>
      <c r="N129" s="62">
        <f t="shared" si="8"/>
        <v>31</v>
      </c>
      <c r="O129" s="4">
        <v>0</v>
      </c>
      <c r="P129" s="11"/>
      <c r="Q129" s="59"/>
      <c r="R129" s="66">
        <f>M129/N129</f>
        <v>3.7903225806451615</v>
      </c>
      <c r="S129" s="5" t="s">
        <v>238</v>
      </c>
      <c r="T129" s="5" t="s">
        <v>2</v>
      </c>
      <c r="U129" s="5">
        <v>117.5</v>
      </c>
      <c r="V129" s="5">
        <v>31</v>
      </c>
    </row>
    <row r="130" spans="6:22" x14ac:dyDescent="0.35">
      <c r="F130" s="16"/>
      <c r="G130" s="16"/>
      <c r="H130" s="16"/>
      <c r="J130" s="45"/>
      <c r="K130" s="6" t="str">
        <f t="shared" si="5"/>
        <v>MICHAEL FLOYD</v>
      </c>
      <c r="L130" s="7" t="str">
        <f t="shared" si="6"/>
        <v>WR</v>
      </c>
      <c r="M130" s="52">
        <f t="shared" si="7"/>
        <v>115.6</v>
      </c>
      <c r="N130" s="62">
        <f t="shared" si="8"/>
        <v>17</v>
      </c>
      <c r="O130" s="4">
        <v>0</v>
      </c>
      <c r="P130" s="11"/>
      <c r="Q130" s="59"/>
      <c r="R130" s="66">
        <f>M130/N130</f>
        <v>6.8</v>
      </c>
      <c r="S130" s="5" t="s">
        <v>345</v>
      </c>
      <c r="T130" s="5" t="s">
        <v>2</v>
      </c>
      <c r="U130" s="5">
        <v>115.6</v>
      </c>
      <c r="V130" s="5">
        <v>17</v>
      </c>
    </row>
    <row r="131" spans="6:22" x14ac:dyDescent="0.35">
      <c r="F131" s="16"/>
      <c r="G131" s="16"/>
      <c r="H131" s="16"/>
      <c r="J131" s="45"/>
      <c r="K131" s="6" t="str">
        <f t="shared" ref="K131:K194" si="9">S131</f>
        <v>CHARLES JOHNSON</v>
      </c>
      <c r="L131" s="7" t="str">
        <f t="shared" ref="L131:L194" si="10">T131</f>
        <v>WR</v>
      </c>
      <c r="M131" s="52">
        <f t="shared" ref="M131:M194" si="11">U131</f>
        <v>115.2</v>
      </c>
      <c r="N131" s="62">
        <f t="shared" ref="N131:N194" si="12">V131</f>
        <v>19</v>
      </c>
      <c r="O131" s="4">
        <v>0</v>
      </c>
      <c r="P131" s="11"/>
      <c r="Q131" s="59"/>
      <c r="R131" s="66">
        <f>M131/N131</f>
        <v>6.0631578947368423</v>
      </c>
      <c r="S131" s="5" t="s">
        <v>266</v>
      </c>
      <c r="T131" s="5" t="s">
        <v>2</v>
      </c>
      <c r="U131" s="5">
        <v>115.2</v>
      </c>
      <c r="V131" s="5">
        <v>19</v>
      </c>
    </row>
    <row r="132" spans="6:22" x14ac:dyDescent="0.35">
      <c r="F132" s="16"/>
      <c r="G132" s="16"/>
      <c r="H132" s="16"/>
      <c r="J132" s="45"/>
      <c r="K132" s="6" t="str">
        <f t="shared" si="9"/>
        <v>NELSON AGHOLOR</v>
      </c>
      <c r="L132" s="7" t="str">
        <f t="shared" si="10"/>
        <v>WR</v>
      </c>
      <c r="M132" s="52">
        <f t="shared" si="11"/>
        <v>114.6</v>
      </c>
      <c r="N132" s="62">
        <f t="shared" si="12"/>
        <v>20</v>
      </c>
      <c r="O132" s="4">
        <v>0</v>
      </c>
      <c r="P132" s="11"/>
      <c r="Q132" s="59"/>
      <c r="R132" s="66">
        <f>M132/N132</f>
        <v>5.7299999999999995</v>
      </c>
      <c r="S132" s="5" t="s">
        <v>348</v>
      </c>
      <c r="T132" s="5" t="s">
        <v>2</v>
      </c>
      <c r="U132" s="5">
        <v>114.6</v>
      </c>
      <c r="V132" s="5">
        <v>20</v>
      </c>
    </row>
    <row r="133" spans="6:22" x14ac:dyDescent="0.35">
      <c r="F133" s="16"/>
      <c r="G133" s="16"/>
      <c r="H133" s="16"/>
      <c r="J133" s="45"/>
      <c r="K133" s="6" t="str">
        <f t="shared" si="9"/>
        <v>BRANDON LAFELL</v>
      </c>
      <c r="L133" s="7" t="str">
        <f t="shared" si="10"/>
        <v>WR</v>
      </c>
      <c r="M133" s="52">
        <f t="shared" si="11"/>
        <v>114.4</v>
      </c>
      <c r="N133" s="62">
        <f t="shared" si="12"/>
        <v>20</v>
      </c>
      <c r="O133" s="4">
        <v>0</v>
      </c>
      <c r="P133" s="11"/>
      <c r="Q133" s="59"/>
      <c r="R133" s="66">
        <f>M133/N133</f>
        <v>5.7200000000000006</v>
      </c>
      <c r="S133" s="5" t="s">
        <v>255</v>
      </c>
      <c r="T133" s="5" t="s">
        <v>2</v>
      </c>
      <c r="U133" s="5">
        <v>114.4</v>
      </c>
      <c r="V133" s="5">
        <v>20</v>
      </c>
    </row>
    <row r="134" spans="6:22" x14ac:dyDescent="0.35">
      <c r="F134" s="16"/>
      <c r="G134" s="16"/>
      <c r="H134" s="16"/>
      <c r="J134" s="45"/>
      <c r="K134" s="6" t="str">
        <f t="shared" si="9"/>
        <v>TORREY SMITH</v>
      </c>
      <c r="L134" s="7" t="str">
        <f t="shared" si="10"/>
        <v>WR</v>
      </c>
      <c r="M134" s="52">
        <f t="shared" si="11"/>
        <v>113.9</v>
      </c>
      <c r="N134" s="62">
        <f t="shared" si="12"/>
        <v>16</v>
      </c>
      <c r="O134" s="4">
        <v>0</v>
      </c>
      <c r="P134" s="11"/>
      <c r="Q134" s="59"/>
      <c r="R134" s="66">
        <f>M134/N134</f>
        <v>7.1187500000000004</v>
      </c>
      <c r="S134" s="5" t="s">
        <v>377</v>
      </c>
      <c r="T134" s="5" t="s">
        <v>2</v>
      </c>
      <c r="U134" s="5">
        <v>113.9</v>
      </c>
      <c r="V134" s="5">
        <v>16</v>
      </c>
    </row>
    <row r="135" spans="6:22" x14ac:dyDescent="0.35">
      <c r="F135" s="16"/>
      <c r="G135" s="16"/>
      <c r="H135" s="16"/>
      <c r="J135" s="45"/>
      <c r="K135" s="6" t="str">
        <f t="shared" si="9"/>
        <v>JOHN BROWN</v>
      </c>
      <c r="L135" s="7" t="str">
        <f t="shared" si="10"/>
        <v>WR</v>
      </c>
      <c r="M135" s="52">
        <f t="shared" si="11"/>
        <v>112.2</v>
      </c>
      <c r="N135" s="62">
        <f t="shared" si="12"/>
        <v>17</v>
      </c>
      <c r="O135" s="4">
        <v>0</v>
      </c>
      <c r="P135" s="11"/>
      <c r="Q135" s="59"/>
      <c r="R135" s="66">
        <f>M135/N135</f>
        <v>6.6000000000000005</v>
      </c>
      <c r="S135" s="5" t="s">
        <v>309</v>
      </c>
      <c r="T135" s="5" t="s">
        <v>2</v>
      </c>
      <c r="U135" s="5">
        <v>112.2</v>
      </c>
      <c r="V135" s="5">
        <v>17</v>
      </c>
    </row>
    <row r="136" spans="6:22" x14ac:dyDescent="0.35">
      <c r="F136" s="16"/>
      <c r="G136" s="16"/>
      <c r="H136" s="16"/>
      <c r="J136" s="45"/>
      <c r="K136" s="6" t="str">
        <f t="shared" si="9"/>
        <v>LARRY FITZGERALD</v>
      </c>
      <c r="L136" s="7" t="str">
        <f t="shared" si="10"/>
        <v>WR</v>
      </c>
      <c r="M136" s="52">
        <f t="shared" si="11"/>
        <v>112.2</v>
      </c>
      <c r="N136" s="62">
        <f t="shared" si="12"/>
        <v>24</v>
      </c>
      <c r="O136" s="4">
        <v>0</v>
      </c>
      <c r="P136" s="11"/>
      <c r="Q136" s="59"/>
      <c r="R136" s="66">
        <f>M136/N136</f>
        <v>4.6749999999999998</v>
      </c>
      <c r="S136" s="5" t="s">
        <v>327</v>
      </c>
      <c r="T136" s="5" t="s">
        <v>2</v>
      </c>
      <c r="U136" s="5">
        <v>112.2</v>
      </c>
      <c r="V136" s="5">
        <v>24</v>
      </c>
    </row>
    <row r="137" spans="6:22" x14ac:dyDescent="0.35">
      <c r="F137" s="16"/>
      <c r="G137" s="16"/>
      <c r="H137" s="16"/>
      <c r="J137" s="45"/>
      <c r="K137" s="6" t="str">
        <f t="shared" si="9"/>
        <v>MARQUES COLSTON</v>
      </c>
      <c r="L137" s="7" t="str">
        <f t="shared" si="10"/>
        <v>WR</v>
      </c>
      <c r="M137" s="52">
        <f t="shared" si="11"/>
        <v>110.8</v>
      </c>
      <c r="N137" s="62">
        <f t="shared" si="12"/>
        <v>16</v>
      </c>
      <c r="O137" s="4">
        <v>0</v>
      </c>
      <c r="P137" s="11"/>
      <c r="Q137" s="59"/>
      <c r="R137" s="66">
        <f>M137/N137</f>
        <v>6.9249999999999998</v>
      </c>
      <c r="S137" s="5" t="s">
        <v>336</v>
      </c>
      <c r="T137" s="5" t="s">
        <v>2</v>
      </c>
      <c r="U137" s="5">
        <v>110.8</v>
      </c>
      <c r="V137" s="5">
        <v>16</v>
      </c>
    </row>
    <row r="138" spans="6:22" x14ac:dyDescent="0.35">
      <c r="F138" s="16"/>
      <c r="G138" s="16"/>
      <c r="H138" s="16"/>
      <c r="J138" s="45"/>
      <c r="K138" s="6" t="str">
        <f t="shared" si="9"/>
        <v>VICTOR CRUZ</v>
      </c>
      <c r="L138" s="7" t="str">
        <f t="shared" si="10"/>
        <v>WR</v>
      </c>
      <c r="M138" s="52">
        <f t="shared" si="11"/>
        <v>109</v>
      </c>
      <c r="N138" s="62">
        <f t="shared" si="12"/>
        <v>19</v>
      </c>
      <c r="O138" s="4">
        <v>0</v>
      </c>
      <c r="P138" s="11"/>
      <c r="Q138" s="59"/>
      <c r="R138" s="66">
        <f>M138/N138</f>
        <v>5.7368421052631575</v>
      </c>
      <c r="S138" s="5" t="s">
        <v>381</v>
      </c>
      <c r="T138" s="5" t="s">
        <v>2</v>
      </c>
      <c r="U138" s="5">
        <v>109</v>
      </c>
      <c r="V138" s="5">
        <v>19</v>
      </c>
    </row>
    <row r="139" spans="6:22" x14ac:dyDescent="0.35">
      <c r="F139" s="16"/>
      <c r="G139" s="16"/>
      <c r="H139" s="16"/>
      <c r="J139" s="45"/>
      <c r="K139" s="6" t="str">
        <f t="shared" si="9"/>
        <v>DEVIN FUNCHESS</v>
      </c>
      <c r="L139" s="7" t="str">
        <f t="shared" si="10"/>
        <v>WR</v>
      </c>
      <c r="M139" s="52">
        <f t="shared" si="11"/>
        <v>106.5</v>
      </c>
      <c r="N139" s="62">
        <f t="shared" si="12"/>
        <v>15</v>
      </c>
      <c r="O139" s="4">
        <v>0</v>
      </c>
      <c r="P139" s="11"/>
      <c r="Q139" s="59"/>
      <c r="R139" s="66">
        <f>M139/N139</f>
        <v>7.1</v>
      </c>
      <c r="S139" s="5" t="s">
        <v>280</v>
      </c>
      <c r="T139" s="5" t="s">
        <v>2</v>
      </c>
      <c r="U139" s="5">
        <v>106.5</v>
      </c>
      <c r="V139" s="5">
        <v>15</v>
      </c>
    </row>
    <row r="140" spans="6:22" x14ac:dyDescent="0.35">
      <c r="F140" s="16"/>
      <c r="G140" s="16"/>
      <c r="H140" s="16"/>
      <c r="J140" s="45"/>
      <c r="K140" s="6" t="str">
        <f t="shared" si="9"/>
        <v>PIERRE GARCON</v>
      </c>
      <c r="L140" s="7" t="str">
        <f t="shared" si="10"/>
        <v>WR</v>
      </c>
      <c r="M140" s="52">
        <f t="shared" si="11"/>
        <v>106.1</v>
      </c>
      <c r="N140" s="62">
        <f t="shared" si="12"/>
        <v>20</v>
      </c>
      <c r="O140" s="4">
        <v>0</v>
      </c>
      <c r="P140" s="11"/>
      <c r="Q140" s="59"/>
      <c r="R140" s="66">
        <f>M140/N140</f>
        <v>5.3049999999999997</v>
      </c>
      <c r="S140" s="5" t="s">
        <v>354</v>
      </c>
      <c r="T140" s="5" t="s">
        <v>2</v>
      </c>
      <c r="U140" s="5">
        <v>106.1</v>
      </c>
      <c r="V140" s="5">
        <v>20</v>
      </c>
    </row>
    <row r="141" spans="6:22" x14ac:dyDescent="0.35">
      <c r="F141" s="16"/>
      <c r="G141" s="16"/>
      <c r="H141" s="16"/>
      <c r="J141" s="45"/>
      <c r="K141" s="6" t="str">
        <f t="shared" si="9"/>
        <v>KENDALL WRIGHT</v>
      </c>
      <c r="L141" s="7" t="str">
        <f t="shared" si="10"/>
        <v>WR</v>
      </c>
      <c r="M141" s="52">
        <f t="shared" si="11"/>
        <v>105.6</v>
      </c>
      <c r="N141" s="62">
        <f t="shared" si="12"/>
        <v>21</v>
      </c>
      <c r="O141" s="4">
        <v>0</v>
      </c>
      <c r="P141" s="11"/>
      <c r="Q141" s="59"/>
      <c r="R141" s="66">
        <f>M141/N141</f>
        <v>5.0285714285714285</v>
      </c>
      <c r="S141" s="5" t="s">
        <v>321</v>
      </c>
      <c r="T141" s="5" t="s">
        <v>2</v>
      </c>
      <c r="U141" s="5">
        <v>105.6</v>
      </c>
      <c r="V141" s="5">
        <v>21</v>
      </c>
    </row>
    <row r="142" spans="6:22" x14ac:dyDescent="0.35">
      <c r="F142" s="16"/>
      <c r="G142" s="16"/>
      <c r="H142" s="16"/>
      <c r="J142" s="45"/>
      <c r="K142" s="6" t="str">
        <f t="shared" si="9"/>
        <v>TERRANCE WILLIAMS</v>
      </c>
      <c r="L142" s="7" t="str">
        <f t="shared" si="10"/>
        <v>WR</v>
      </c>
      <c r="M142" s="52">
        <f t="shared" si="11"/>
        <v>105.3</v>
      </c>
      <c r="N142" s="62">
        <f t="shared" si="12"/>
        <v>6</v>
      </c>
      <c r="O142" s="4">
        <v>0</v>
      </c>
      <c r="P142" s="11"/>
      <c r="Q142" s="59"/>
      <c r="R142" s="66">
        <f>M142/N142</f>
        <v>17.55</v>
      </c>
      <c r="S142" s="5" t="s">
        <v>372</v>
      </c>
      <c r="T142" s="5" t="s">
        <v>2</v>
      </c>
      <c r="U142" s="5">
        <v>105.3</v>
      </c>
      <c r="V142" s="5">
        <v>6</v>
      </c>
    </row>
    <row r="143" spans="6:22" x14ac:dyDescent="0.35">
      <c r="F143" s="16"/>
      <c r="G143" s="16"/>
      <c r="H143" s="16"/>
      <c r="J143" s="45"/>
      <c r="K143" s="6" t="str">
        <f t="shared" si="9"/>
        <v>MALCOM FLOYD</v>
      </c>
      <c r="L143" s="7" t="str">
        <f t="shared" si="10"/>
        <v>WR</v>
      </c>
      <c r="M143" s="52">
        <f t="shared" si="11"/>
        <v>104</v>
      </c>
      <c r="N143" s="62">
        <f t="shared" si="12"/>
        <v>7</v>
      </c>
      <c r="O143" s="4">
        <v>0</v>
      </c>
      <c r="P143" s="11"/>
      <c r="Q143" s="59"/>
      <c r="R143" s="66">
        <f>M143/N143</f>
        <v>14.857142857142858</v>
      </c>
      <c r="S143" s="5" t="s">
        <v>333</v>
      </c>
      <c r="T143" s="5" t="s">
        <v>2</v>
      </c>
      <c r="U143" s="5">
        <v>104</v>
      </c>
      <c r="V143" s="5">
        <v>7</v>
      </c>
    </row>
    <row r="144" spans="6:22" x14ac:dyDescent="0.35">
      <c r="F144" s="16"/>
      <c r="G144" s="16"/>
      <c r="H144" s="16"/>
      <c r="J144" s="45"/>
      <c r="K144" s="6" t="str">
        <f t="shared" si="9"/>
        <v>DOUG BALDWIN</v>
      </c>
      <c r="L144" s="7" t="str">
        <f t="shared" si="10"/>
        <v>WR</v>
      </c>
      <c r="M144" s="52">
        <f t="shared" si="11"/>
        <v>103.4</v>
      </c>
      <c r="N144" s="62">
        <f t="shared" si="12"/>
        <v>12</v>
      </c>
      <c r="O144" s="4">
        <v>0</v>
      </c>
      <c r="P144" s="11"/>
      <c r="Q144" s="59"/>
      <c r="R144" s="66">
        <f>M144/N144</f>
        <v>8.6166666666666671</v>
      </c>
      <c r="S144" s="5" t="s">
        <v>283</v>
      </c>
      <c r="T144" s="5" t="s">
        <v>2</v>
      </c>
      <c r="U144" s="5">
        <v>103.4</v>
      </c>
      <c r="V144" s="5">
        <v>12</v>
      </c>
    </row>
    <row r="145" spans="6:22" x14ac:dyDescent="0.35">
      <c r="F145" s="16"/>
      <c r="G145" s="16"/>
      <c r="H145" s="16"/>
      <c r="J145" s="45"/>
      <c r="K145" s="6" t="str">
        <f t="shared" si="9"/>
        <v>BRESHAD PERRIMAN</v>
      </c>
      <c r="L145" s="7" t="str">
        <f t="shared" si="10"/>
        <v>WR</v>
      </c>
      <c r="M145" s="52">
        <f t="shared" si="11"/>
        <v>102.1</v>
      </c>
      <c r="N145" s="62">
        <f t="shared" si="12"/>
        <v>9</v>
      </c>
      <c r="O145" s="4">
        <v>0</v>
      </c>
      <c r="P145" s="11"/>
      <c r="Q145" s="59"/>
      <c r="R145" s="66">
        <f>M145/N145</f>
        <v>11.344444444444443</v>
      </c>
      <c r="S145" s="5" t="s">
        <v>257</v>
      </c>
      <c r="T145" s="5" t="s">
        <v>2</v>
      </c>
      <c r="U145" s="5">
        <v>102.1</v>
      </c>
      <c r="V145" s="5">
        <v>9</v>
      </c>
    </row>
    <row r="146" spans="6:22" x14ac:dyDescent="0.35">
      <c r="F146" s="16"/>
      <c r="G146" s="16"/>
      <c r="H146" s="16"/>
      <c r="J146" s="45"/>
      <c r="K146" s="6" t="str">
        <f t="shared" si="9"/>
        <v>RUEBEN RANDLE</v>
      </c>
      <c r="L146" s="7" t="str">
        <f t="shared" si="10"/>
        <v>WR</v>
      </c>
      <c r="M146" s="52">
        <f t="shared" si="11"/>
        <v>95.6</v>
      </c>
      <c r="N146" s="62">
        <f t="shared" si="12"/>
        <v>6</v>
      </c>
      <c r="O146" s="4">
        <v>0</v>
      </c>
      <c r="P146" s="11"/>
      <c r="Q146" s="59"/>
      <c r="R146" s="66">
        <f>M146/N146</f>
        <v>15.933333333333332</v>
      </c>
      <c r="S146" s="5" t="s">
        <v>361</v>
      </c>
      <c r="T146" s="5" t="s">
        <v>2</v>
      </c>
      <c r="U146" s="5">
        <v>95.6</v>
      </c>
      <c r="V146" s="5">
        <v>6</v>
      </c>
    </row>
    <row r="147" spans="6:22" x14ac:dyDescent="0.35">
      <c r="F147" s="16"/>
      <c r="G147" s="16"/>
      <c r="H147" s="16"/>
      <c r="J147" s="45"/>
      <c r="K147" s="6" t="str">
        <f t="shared" si="9"/>
        <v>EDDIE ROYAL</v>
      </c>
      <c r="L147" s="7" t="str">
        <f t="shared" si="10"/>
        <v>WR</v>
      </c>
      <c r="M147" s="52">
        <f t="shared" si="11"/>
        <v>95.5</v>
      </c>
      <c r="N147" s="62">
        <f t="shared" si="12"/>
        <v>10</v>
      </c>
      <c r="O147" s="4">
        <v>0</v>
      </c>
      <c r="P147" s="11"/>
      <c r="Q147" s="59"/>
      <c r="R147" s="66">
        <f>M147/N147</f>
        <v>9.5500000000000007</v>
      </c>
      <c r="S147" s="5" t="s">
        <v>290</v>
      </c>
      <c r="T147" s="5" t="s">
        <v>2</v>
      </c>
      <c r="U147" s="5">
        <v>95.5</v>
      </c>
      <c r="V147" s="5">
        <v>10</v>
      </c>
    </row>
    <row r="148" spans="6:22" x14ac:dyDescent="0.35">
      <c r="F148" s="16"/>
      <c r="G148" s="16"/>
      <c r="H148" s="16"/>
      <c r="J148" s="45"/>
      <c r="K148" s="6" t="str">
        <f t="shared" si="9"/>
        <v>DWAYNE BOWE</v>
      </c>
      <c r="L148" s="7" t="str">
        <f t="shared" si="10"/>
        <v>WR</v>
      </c>
      <c r="M148" s="52">
        <f t="shared" si="11"/>
        <v>94.6</v>
      </c>
      <c r="N148" s="62">
        <f t="shared" si="12"/>
        <v>8</v>
      </c>
      <c r="O148" s="4">
        <v>0</v>
      </c>
      <c r="P148" s="11"/>
      <c r="Q148" s="59"/>
      <c r="R148" s="66">
        <f>M148/N148</f>
        <v>11.824999999999999</v>
      </c>
      <c r="S148" s="5" t="s">
        <v>288</v>
      </c>
      <c r="T148" s="5" t="s">
        <v>2</v>
      </c>
      <c r="U148" s="5">
        <v>94.6</v>
      </c>
      <c r="V148" s="5">
        <v>8</v>
      </c>
    </row>
    <row r="149" spans="6:22" x14ac:dyDescent="0.35">
      <c r="F149" s="16"/>
      <c r="G149" s="16"/>
      <c r="H149" s="16"/>
      <c r="J149" s="45"/>
      <c r="K149" s="6" t="str">
        <f t="shared" si="9"/>
        <v>BRIAN QUICK</v>
      </c>
      <c r="L149" s="7" t="str">
        <f t="shared" si="10"/>
        <v>WR</v>
      </c>
      <c r="M149" s="52">
        <f t="shared" si="11"/>
        <v>93.9</v>
      </c>
      <c r="N149" s="62">
        <f t="shared" si="12"/>
        <v>4</v>
      </c>
      <c r="O149" s="4">
        <v>0</v>
      </c>
      <c r="P149" s="11"/>
      <c r="Q149" s="59"/>
      <c r="R149" s="66">
        <f>M149/N149</f>
        <v>23.475000000000001</v>
      </c>
      <c r="S149" s="5" t="s">
        <v>258</v>
      </c>
      <c r="T149" s="5" t="s">
        <v>2</v>
      </c>
      <c r="U149" s="5">
        <v>93.9</v>
      </c>
      <c r="V149" s="5">
        <v>4</v>
      </c>
    </row>
    <row r="150" spans="6:22" x14ac:dyDescent="0.35">
      <c r="F150" s="16"/>
      <c r="G150" s="16"/>
      <c r="H150" s="16"/>
      <c r="J150" s="45"/>
      <c r="K150" s="6" t="str">
        <f t="shared" si="9"/>
        <v>KENNY STILLS</v>
      </c>
      <c r="L150" s="7" t="str">
        <f t="shared" si="10"/>
        <v>WR</v>
      </c>
      <c r="M150" s="52">
        <f t="shared" si="11"/>
        <v>93.8</v>
      </c>
      <c r="N150" s="62">
        <f t="shared" si="12"/>
        <v>4</v>
      </c>
      <c r="O150" s="4">
        <v>0</v>
      </c>
      <c r="P150" s="11"/>
      <c r="Q150" s="59"/>
      <c r="R150" s="66">
        <f>M150/N150</f>
        <v>23.45</v>
      </c>
      <c r="S150" s="5" t="s">
        <v>323</v>
      </c>
      <c r="T150" s="5" t="s">
        <v>2</v>
      </c>
      <c r="U150" s="5">
        <v>93.8</v>
      </c>
      <c r="V150" s="5">
        <v>4</v>
      </c>
    </row>
    <row r="151" spans="6:22" x14ac:dyDescent="0.35">
      <c r="F151" s="16"/>
      <c r="G151" s="16"/>
      <c r="H151" s="16"/>
      <c r="J151" s="45"/>
      <c r="K151" s="6" t="str">
        <f t="shared" si="9"/>
        <v>KENNY BRITT</v>
      </c>
      <c r="L151" s="7" t="str">
        <f t="shared" si="10"/>
        <v>WR</v>
      </c>
      <c r="M151" s="52">
        <f t="shared" si="11"/>
        <v>89.7</v>
      </c>
      <c r="N151" s="62">
        <f t="shared" si="12"/>
        <v>3</v>
      </c>
      <c r="O151" s="4">
        <v>0</v>
      </c>
      <c r="P151" s="11"/>
      <c r="Q151" s="59"/>
      <c r="R151" s="66">
        <f>M151/N151</f>
        <v>29.900000000000002</v>
      </c>
      <c r="S151" s="5" t="s">
        <v>322</v>
      </c>
      <c r="T151" s="5" t="s">
        <v>2</v>
      </c>
      <c r="U151" s="5">
        <v>89.7</v>
      </c>
      <c r="V151" s="5">
        <v>3</v>
      </c>
    </row>
    <row r="152" spans="6:22" x14ac:dyDescent="0.35">
      <c r="F152" s="16"/>
      <c r="G152" s="16"/>
      <c r="H152" s="16"/>
      <c r="J152" s="45"/>
      <c r="K152" s="6" t="str">
        <f t="shared" si="9"/>
        <v>PERCY HARVIN</v>
      </c>
      <c r="L152" s="7" t="str">
        <f t="shared" si="10"/>
        <v>WR</v>
      </c>
      <c r="M152" s="52">
        <f t="shared" si="11"/>
        <v>88.6</v>
      </c>
      <c r="N152" s="62">
        <f t="shared" si="12"/>
        <v>5</v>
      </c>
      <c r="O152" s="4">
        <v>0</v>
      </c>
      <c r="P152" s="11"/>
      <c r="Q152" s="59"/>
      <c r="R152" s="66">
        <f>M152/N152</f>
        <v>17.72</v>
      </c>
      <c r="S152" s="5" t="s">
        <v>351</v>
      </c>
      <c r="T152" s="5" t="s">
        <v>2</v>
      </c>
      <c r="U152" s="5">
        <v>88.6</v>
      </c>
      <c r="V152" s="5">
        <v>5</v>
      </c>
    </row>
    <row r="153" spans="6:22" x14ac:dyDescent="0.35">
      <c r="F153" s="16"/>
      <c r="G153" s="16"/>
      <c r="H153" s="16"/>
      <c r="J153" s="45"/>
      <c r="K153" s="6" t="str">
        <f t="shared" si="9"/>
        <v>MICHAEL CRABTREE</v>
      </c>
      <c r="L153" s="7" t="str">
        <f t="shared" si="10"/>
        <v>WR</v>
      </c>
      <c r="M153" s="52">
        <f t="shared" si="11"/>
        <v>85.4</v>
      </c>
      <c r="N153" s="62">
        <f t="shared" si="12"/>
        <v>4</v>
      </c>
      <c r="O153" s="4">
        <v>0</v>
      </c>
      <c r="P153" s="11"/>
      <c r="Q153" s="59"/>
      <c r="R153" s="66">
        <f>M153/N153</f>
        <v>21.35</v>
      </c>
      <c r="S153" s="5" t="s">
        <v>344</v>
      </c>
      <c r="T153" s="5" t="s">
        <v>2</v>
      </c>
      <c r="U153" s="5">
        <v>85.4</v>
      </c>
      <c r="V153" s="5">
        <v>4</v>
      </c>
    </row>
    <row r="154" spans="6:22" x14ac:dyDescent="0.35">
      <c r="F154" s="16"/>
      <c r="G154" s="16"/>
      <c r="H154" s="16"/>
      <c r="J154" s="45"/>
      <c r="K154" s="6" t="str">
        <f t="shared" si="9"/>
        <v>Arizona</v>
      </c>
      <c r="L154" s="7" t="str">
        <f t="shared" si="10"/>
        <v>DEF</v>
      </c>
      <c r="M154" s="52">
        <f t="shared" si="11"/>
        <v>123</v>
      </c>
      <c r="N154" s="62">
        <f t="shared" si="12"/>
        <v>2.2999999999999998</v>
      </c>
      <c r="O154" s="4">
        <v>0</v>
      </c>
      <c r="P154" s="11"/>
      <c r="Q154" s="59"/>
      <c r="R154" s="66">
        <f>M154/N154</f>
        <v>53.478260869565219</v>
      </c>
      <c r="S154" s="6" t="s">
        <v>130</v>
      </c>
      <c r="T154" s="7" t="s">
        <v>4</v>
      </c>
      <c r="U154" s="52">
        <v>123</v>
      </c>
      <c r="V154" s="62">
        <v>2.2999999999999998</v>
      </c>
    </row>
    <row r="155" spans="6:22" x14ac:dyDescent="0.35">
      <c r="F155" s="16"/>
      <c r="G155" s="16"/>
      <c r="H155" s="16"/>
      <c r="J155" s="45"/>
      <c r="K155" s="6" t="str">
        <f t="shared" si="9"/>
        <v>Atlanta</v>
      </c>
      <c r="L155" s="7" t="str">
        <f t="shared" si="10"/>
        <v>DEF</v>
      </c>
      <c r="M155" s="52">
        <f t="shared" si="11"/>
        <v>118</v>
      </c>
      <c r="N155" s="62">
        <f t="shared" si="12"/>
        <v>1.7249999999999999</v>
      </c>
      <c r="O155" s="4">
        <v>0</v>
      </c>
      <c r="P155" s="11"/>
      <c r="Q155" s="59"/>
      <c r="R155" s="66">
        <f>M155/N155</f>
        <v>68.405797101449281</v>
      </c>
      <c r="S155" s="6" t="s">
        <v>131</v>
      </c>
      <c r="T155" s="7" t="s">
        <v>4</v>
      </c>
      <c r="U155" s="52">
        <v>118</v>
      </c>
      <c r="V155" s="62">
        <v>1.7249999999999999</v>
      </c>
    </row>
    <row r="156" spans="6:22" x14ac:dyDescent="0.35">
      <c r="F156" s="16"/>
      <c r="G156" s="16"/>
      <c r="H156" s="16"/>
      <c r="J156" s="45"/>
      <c r="K156" s="6" t="str">
        <f t="shared" si="9"/>
        <v>Baltimore</v>
      </c>
      <c r="L156" s="7" t="str">
        <f t="shared" si="10"/>
        <v>DEF</v>
      </c>
      <c r="M156" s="52">
        <f t="shared" si="11"/>
        <v>109</v>
      </c>
      <c r="N156" s="62">
        <f t="shared" si="12"/>
        <v>2.2999999999999998</v>
      </c>
      <c r="O156" s="4">
        <v>0</v>
      </c>
      <c r="P156" s="11"/>
      <c r="Q156" s="59"/>
      <c r="R156" s="66">
        <f>M156/N156</f>
        <v>47.391304347826093</v>
      </c>
      <c r="S156" s="6" t="s">
        <v>132</v>
      </c>
      <c r="T156" s="7" t="s">
        <v>4</v>
      </c>
      <c r="U156" s="52">
        <v>109</v>
      </c>
      <c r="V156" s="62">
        <v>2.2999999999999998</v>
      </c>
    </row>
    <row r="157" spans="6:22" x14ac:dyDescent="0.35">
      <c r="F157" s="16"/>
      <c r="G157" s="16"/>
      <c r="H157" s="16"/>
      <c r="J157" s="45"/>
      <c r="K157" s="6" t="str">
        <f t="shared" si="9"/>
        <v>Buffalo</v>
      </c>
      <c r="L157" s="7" t="str">
        <f t="shared" si="10"/>
        <v>DEF</v>
      </c>
      <c r="M157" s="52">
        <f t="shared" si="11"/>
        <v>100</v>
      </c>
      <c r="N157" s="62">
        <f t="shared" si="12"/>
        <v>1.7249999999999999</v>
      </c>
      <c r="O157" s="4">
        <v>0</v>
      </c>
      <c r="P157" s="11"/>
      <c r="Q157" s="59"/>
      <c r="R157" s="66">
        <f>M157/N157</f>
        <v>57.971014492753625</v>
      </c>
      <c r="S157" s="6" t="s">
        <v>133</v>
      </c>
      <c r="T157" s="7" t="s">
        <v>4</v>
      </c>
      <c r="U157" s="52">
        <v>100</v>
      </c>
      <c r="V157" s="62">
        <v>1.7249999999999999</v>
      </c>
    </row>
    <row r="158" spans="6:22" x14ac:dyDescent="0.35">
      <c r="F158" s="16"/>
      <c r="G158" s="16"/>
      <c r="H158" s="16"/>
      <c r="J158" s="45"/>
      <c r="K158" s="6" t="str">
        <f t="shared" si="9"/>
        <v>Carolina</v>
      </c>
      <c r="L158" s="7" t="str">
        <f t="shared" si="10"/>
        <v>DEF</v>
      </c>
      <c r="M158" s="52">
        <f t="shared" si="11"/>
        <v>110</v>
      </c>
      <c r="N158" s="62">
        <f t="shared" si="12"/>
        <v>1.7249999999999999</v>
      </c>
      <c r="O158" s="4">
        <v>0</v>
      </c>
      <c r="P158" s="11"/>
      <c r="Q158" s="59"/>
      <c r="R158" s="66">
        <f>M158/N158</f>
        <v>63.768115942028992</v>
      </c>
      <c r="S158" s="6" t="s">
        <v>134</v>
      </c>
      <c r="T158" s="7" t="s">
        <v>4</v>
      </c>
      <c r="U158" s="52">
        <v>110</v>
      </c>
      <c r="V158" s="62">
        <v>1.7249999999999999</v>
      </c>
    </row>
    <row r="159" spans="6:22" x14ac:dyDescent="0.35">
      <c r="F159" s="16"/>
      <c r="G159" s="16"/>
      <c r="H159" s="16"/>
      <c r="J159" s="45"/>
      <c r="K159" s="6" t="str">
        <f t="shared" si="9"/>
        <v>Chicago</v>
      </c>
      <c r="L159" s="7" t="str">
        <f t="shared" si="10"/>
        <v>DEF</v>
      </c>
      <c r="M159" s="52">
        <f t="shared" si="11"/>
        <v>148</v>
      </c>
      <c r="N159" s="62">
        <f t="shared" si="12"/>
        <v>2.875</v>
      </c>
      <c r="O159" s="4">
        <v>0</v>
      </c>
      <c r="P159" s="11"/>
      <c r="Q159" s="59"/>
      <c r="R159" s="66">
        <f>M159/N159</f>
        <v>51.478260869565219</v>
      </c>
      <c r="S159" s="6" t="s">
        <v>135</v>
      </c>
      <c r="T159" s="7" t="s">
        <v>4</v>
      </c>
      <c r="U159" s="52">
        <v>148</v>
      </c>
      <c r="V159" s="62">
        <v>2.875</v>
      </c>
    </row>
    <row r="160" spans="6:22" x14ac:dyDescent="0.35">
      <c r="F160" s="16"/>
      <c r="G160" s="16"/>
      <c r="H160" s="16"/>
      <c r="J160" s="45"/>
      <c r="K160" s="6" t="str">
        <f t="shared" si="9"/>
        <v>Cincinnati</v>
      </c>
      <c r="L160" s="7" t="str">
        <f t="shared" si="10"/>
        <v>DEF</v>
      </c>
      <c r="M160" s="52">
        <f t="shared" si="11"/>
        <v>124</v>
      </c>
      <c r="N160" s="62">
        <f t="shared" si="12"/>
        <v>2.2999999999999998</v>
      </c>
      <c r="O160" s="4">
        <v>0</v>
      </c>
      <c r="P160" s="11"/>
      <c r="Q160" s="59"/>
      <c r="R160" s="66">
        <f>M160/N160</f>
        <v>53.913043478260875</v>
      </c>
      <c r="S160" s="6" t="s">
        <v>136</v>
      </c>
      <c r="T160" s="7" t="s">
        <v>4</v>
      </c>
      <c r="U160" s="52">
        <v>124</v>
      </c>
      <c r="V160" s="62">
        <v>2.2999999999999998</v>
      </c>
    </row>
    <row r="161" spans="6:22" x14ac:dyDescent="0.35">
      <c r="F161" s="16"/>
      <c r="G161" s="16"/>
      <c r="H161" s="16"/>
      <c r="J161" s="45"/>
      <c r="K161" s="6" t="str">
        <f t="shared" si="9"/>
        <v>Cleveland</v>
      </c>
      <c r="L161" s="7" t="str">
        <f t="shared" si="10"/>
        <v>DEF</v>
      </c>
      <c r="M161" s="52">
        <f t="shared" si="11"/>
        <v>119</v>
      </c>
      <c r="N161" s="62">
        <f t="shared" si="12"/>
        <v>2.2999999999999998</v>
      </c>
      <c r="O161" s="4">
        <v>0</v>
      </c>
      <c r="P161" s="11"/>
      <c r="Q161" s="59"/>
      <c r="R161" s="66">
        <f>M161/N161</f>
        <v>51.739130434782609</v>
      </c>
      <c r="S161" s="6" t="s">
        <v>137</v>
      </c>
      <c r="T161" s="7" t="s">
        <v>4</v>
      </c>
      <c r="U161" s="52">
        <v>119</v>
      </c>
      <c r="V161" s="62">
        <v>2.2999999999999998</v>
      </c>
    </row>
    <row r="162" spans="6:22" x14ac:dyDescent="0.35">
      <c r="F162" s="16"/>
      <c r="G162" s="16"/>
      <c r="H162" s="16"/>
      <c r="J162" s="45"/>
      <c r="K162" s="6" t="str">
        <f t="shared" si="9"/>
        <v>Dallas</v>
      </c>
      <c r="L162" s="7" t="str">
        <f t="shared" si="10"/>
        <v>DEF</v>
      </c>
      <c r="M162" s="52">
        <f t="shared" si="11"/>
        <v>89</v>
      </c>
      <c r="N162" s="62">
        <f t="shared" si="12"/>
        <v>2.875</v>
      </c>
      <c r="O162" s="4">
        <v>0</v>
      </c>
      <c r="P162" s="11"/>
      <c r="Q162" s="59"/>
      <c r="R162" s="66">
        <f>M162/N162</f>
        <v>30.956521739130434</v>
      </c>
      <c r="S162" s="6" t="s">
        <v>138</v>
      </c>
      <c r="T162" s="7" t="s">
        <v>4</v>
      </c>
      <c r="U162" s="52">
        <v>89</v>
      </c>
      <c r="V162" s="62">
        <v>2.875</v>
      </c>
    </row>
    <row r="163" spans="6:22" x14ac:dyDescent="0.35">
      <c r="F163" s="16"/>
      <c r="G163" s="16"/>
      <c r="H163" s="16"/>
      <c r="J163" s="45"/>
      <c r="K163" s="6" t="str">
        <f t="shared" si="9"/>
        <v>Denver</v>
      </c>
      <c r="L163" s="7" t="str">
        <f t="shared" si="10"/>
        <v>DEF</v>
      </c>
      <c r="M163" s="52">
        <f t="shared" si="11"/>
        <v>143</v>
      </c>
      <c r="N163" s="62">
        <f t="shared" si="12"/>
        <v>2.875</v>
      </c>
      <c r="O163" s="4">
        <v>0</v>
      </c>
      <c r="P163" s="11"/>
      <c r="Q163" s="59"/>
      <c r="R163" s="66">
        <f>M163/N163</f>
        <v>49.739130434782609</v>
      </c>
      <c r="S163" s="6" t="s">
        <v>139</v>
      </c>
      <c r="T163" s="7" t="s">
        <v>4</v>
      </c>
      <c r="U163" s="52">
        <v>143</v>
      </c>
      <c r="V163" s="62">
        <v>2.875</v>
      </c>
    </row>
    <row r="164" spans="6:22" x14ac:dyDescent="0.35">
      <c r="F164" s="16"/>
      <c r="G164" s="16"/>
      <c r="H164" s="16"/>
      <c r="J164" s="45"/>
      <c r="K164" s="6" t="str">
        <f t="shared" si="9"/>
        <v>Green Bay</v>
      </c>
      <c r="L164" s="7" t="str">
        <f t="shared" si="10"/>
        <v>DEF</v>
      </c>
      <c r="M164" s="52">
        <f t="shared" si="11"/>
        <v>133</v>
      </c>
      <c r="N164" s="62">
        <f t="shared" si="12"/>
        <v>2.2999999999999998</v>
      </c>
      <c r="O164" s="4">
        <v>0</v>
      </c>
      <c r="P164" s="11"/>
      <c r="Q164" s="59"/>
      <c r="R164" s="66">
        <f>M164/N164</f>
        <v>57.826086956521742</v>
      </c>
      <c r="S164" s="6" t="s">
        <v>140</v>
      </c>
      <c r="T164" s="7" t="s">
        <v>4</v>
      </c>
      <c r="U164" s="52">
        <v>133</v>
      </c>
      <c r="V164" s="62">
        <v>2.2999999999999998</v>
      </c>
    </row>
    <row r="165" spans="6:22" x14ac:dyDescent="0.35">
      <c r="F165" s="16"/>
      <c r="G165" s="16"/>
      <c r="H165" s="16"/>
      <c r="J165" s="45"/>
      <c r="K165" s="6" t="str">
        <f t="shared" si="9"/>
        <v>Houston</v>
      </c>
      <c r="L165" s="7" t="str">
        <f t="shared" si="10"/>
        <v>DEF</v>
      </c>
      <c r="M165" s="52">
        <f t="shared" si="11"/>
        <v>148</v>
      </c>
      <c r="N165" s="62">
        <f t="shared" si="12"/>
        <v>2.875</v>
      </c>
      <c r="O165" s="4">
        <v>0</v>
      </c>
      <c r="P165" s="11"/>
      <c r="Q165" s="59"/>
      <c r="R165" s="66">
        <f>M165/N165</f>
        <v>51.478260869565219</v>
      </c>
      <c r="S165" s="6" t="s">
        <v>141</v>
      </c>
      <c r="T165" s="7" t="s">
        <v>4</v>
      </c>
      <c r="U165" s="52">
        <v>148</v>
      </c>
      <c r="V165" s="62">
        <v>2.875</v>
      </c>
    </row>
    <row r="166" spans="6:22" x14ac:dyDescent="0.35">
      <c r="F166" s="16"/>
      <c r="G166" s="16"/>
      <c r="H166" s="16"/>
      <c r="J166" s="45"/>
      <c r="K166" s="6" t="str">
        <f t="shared" si="9"/>
        <v>Indianapolis</v>
      </c>
      <c r="L166" s="7" t="str">
        <f t="shared" si="10"/>
        <v>DEF</v>
      </c>
      <c r="M166" s="52">
        <f t="shared" si="11"/>
        <v>89</v>
      </c>
      <c r="N166" s="62">
        <f t="shared" si="12"/>
        <v>1.7249999999999999</v>
      </c>
      <c r="O166" s="4">
        <v>0</v>
      </c>
      <c r="P166" s="11"/>
      <c r="Q166" s="59"/>
      <c r="R166" s="66">
        <f>M166/N166</f>
        <v>51.594202898550726</v>
      </c>
      <c r="S166" s="6" t="s">
        <v>142</v>
      </c>
      <c r="T166" s="7" t="s">
        <v>4</v>
      </c>
      <c r="U166" s="52">
        <v>89</v>
      </c>
      <c r="V166" s="62">
        <v>1.7249999999999999</v>
      </c>
    </row>
    <row r="167" spans="6:22" x14ac:dyDescent="0.35">
      <c r="F167" s="16"/>
      <c r="G167" s="16"/>
      <c r="H167" s="16"/>
      <c r="J167" s="45"/>
      <c r="K167" s="6" t="str">
        <f t="shared" si="9"/>
        <v>Kansas City</v>
      </c>
      <c r="L167" s="7" t="str">
        <f t="shared" si="10"/>
        <v>DEF</v>
      </c>
      <c r="M167" s="52">
        <f t="shared" si="11"/>
        <v>89</v>
      </c>
      <c r="N167" s="62">
        <f t="shared" si="12"/>
        <v>1.7249999999999999</v>
      </c>
      <c r="O167" s="4">
        <v>0</v>
      </c>
      <c r="P167" s="11"/>
      <c r="Q167" s="59"/>
      <c r="R167" s="66">
        <f>M167/N167</f>
        <v>51.594202898550726</v>
      </c>
      <c r="S167" s="6" t="s">
        <v>143</v>
      </c>
      <c r="T167" s="7" t="s">
        <v>4</v>
      </c>
      <c r="U167" s="52">
        <v>89</v>
      </c>
      <c r="V167" s="62">
        <v>1.7249999999999999</v>
      </c>
    </row>
    <row r="168" spans="6:22" x14ac:dyDescent="0.35">
      <c r="F168" s="16"/>
      <c r="G168" s="16"/>
      <c r="H168" s="16"/>
      <c r="J168" s="45"/>
      <c r="K168" s="6" t="str">
        <f t="shared" si="9"/>
        <v>Miami</v>
      </c>
      <c r="L168" s="7" t="str">
        <f t="shared" si="10"/>
        <v>DEF</v>
      </c>
      <c r="M168" s="52">
        <f t="shared" si="11"/>
        <v>88</v>
      </c>
      <c r="N168" s="62">
        <f t="shared" si="12"/>
        <v>2.2999999999999998</v>
      </c>
      <c r="O168" s="4">
        <v>0</v>
      </c>
      <c r="P168" s="11"/>
      <c r="Q168" s="59"/>
      <c r="R168" s="66">
        <f>M168/N168</f>
        <v>38.260869565217398</v>
      </c>
      <c r="S168" s="6" t="s">
        <v>144</v>
      </c>
      <c r="T168" s="7" t="s">
        <v>4</v>
      </c>
      <c r="U168" s="52">
        <v>88</v>
      </c>
      <c r="V168" s="62">
        <v>2.2999999999999998</v>
      </c>
    </row>
    <row r="169" spans="6:22" x14ac:dyDescent="0.35">
      <c r="F169" s="16"/>
      <c r="G169" s="16"/>
      <c r="H169" s="16"/>
      <c r="J169" s="45"/>
      <c r="K169" s="6" t="str">
        <f t="shared" si="9"/>
        <v>Minnesota</v>
      </c>
      <c r="L169" s="7" t="str">
        <f t="shared" si="10"/>
        <v>DEF</v>
      </c>
      <c r="M169" s="52">
        <f t="shared" si="11"/>
        <v>108</v>
      </c>
      <c r="N169" s="62">
        <f t="shared" si="12"/>
        <v>2.2999999999999998</v>
      </c>
      <c r="O169" s="4">
        <v>0</v>
      </c>
      <c r="P169" s="11"/>
      <c r="Q169" s="59"/>
      <c r="R169" s="66">
        <f>M169/N169</f>
        <v>46.956521739130437</v>
      </c>
      <c r="S169" s="6" t="s">
        <v>145</v>
      </c>
      <c r="T169" s="7" t="s">
        <v>4</v>
      </c>
      <c r="U169" s="52">
        <v>108</v>
      </c>
      <c r="V169" s="62">
        <v>2.2999999999999998</v>
      </c>
    </row>
    <row r="170" spans="6:22" x14ac:dyDescent="0.35">
      <c r="F170" s="16"/>
      <c r="G170" s="16"/>
      <c r="H170" s="16"/>
      <c r="J170" s="45"/>
      <c r="K170" s="6" t="str">
        <f t="shared" si="9"/>
        <v>New England</v>
      </c>
      <c r="L170" s="7" t="str">
        <f t="shared" si="10"/>
        <v>DEF</v>
      </c>
      <c r="M170" s="52">
        <f t="shared" si="11"/>
        <v>147</v>
      </c>
      <c r="N170" s="62">
        <f t="shared" si="12"/>
        <v>2.2999999999999998</v>
      </c>
      <c r="O170" s="4">
        <v>0</v>
      </c>
      <c r="P170" s="11"/>
      <c r="Q170" s="59"/>
      <c r="R170" s="66">
        <f>M170/N170</f>
        <v>63.913043478260875</v>
      </c>
      <c r="S170" s="6" t="s">
        <v>146</v>
      </c>
      <c r="T170" s="7" t="s">
        <v>4</v>
      </c>
      <c r="U170" s="52">
        <v>147</v>
      </c>
      <c r="V170" s="62">
        <v>2.2999999999999998</v>
      </c>
    </row>
    <row r="171" spans="6:22" x14ac:dyDescent="0.35">
      <c r="F171" s="16"/>
      <c r="G171" s="16"/>
      <c r="H171" s="16"/>
      <c r="J171" s="45"/>
      <c r="K171" s="6" t="str">
        <f t="shared" si="9"/>
        <v>New Orleans</v>
      </c>
      <c r="L171" s="7" t="str">
        <f t="shared" si="10"/>
        <v>DEF</v>
      </c>
      <c r="M171" s="52">
        <f t="shared" si="11"/>
        <v>115</v>
      </c>
      <c r="N171" s="62">
        <f t="shared" si="12"/>
        <v>2.2999999999999998</v>
      </c>
      <c r="O171" s="4">
        <v>0</v>
      </c>
      <c r="P171" s="11"/>
      <c r="Q171" s="59"/>
      <c r="R171" s="66">
        <f>M171/N171</f>
        <v>50.000000000000007</v>
      </c>
      <c r="S171" s="6" t="s">
        <v>147</v>
      </c>
      <c r="T171" s="7" t="s">
        <v>4</v>
      </c>
      <c r="U171" s="52">
        <v>115</v>
      </c>
      <c r="V171" s="62">
        <v>2.2999999999999998</v>
      </c>
    </row>
    <row r="172" spans="6:22" x14ac:dyDescent="0.35">
      <c r="F172" s="16"/>
      <c r="G172" s="16"/>
      <c r="H172" s="16"/>
      <c r="J172" s="45"/>
      <c r="K172" s="6" t="str">
        <f t="shared" si="9"/>
        <v>New York G</v>
      </c>
      <c r="L172" s="7" t="str">
        <f t="shared" si="10"/>
        <v>DEF</v>
      </c>
      <c r="M172" s="52">
        <f t="shared" si="11"/>
        <v>109</v>
      </c>
      <c r="N172" s="62">
        <f t="shared" si="12"/>
        <v>2.2999999999999998</v>
      </c>
      <c r="O172" s="4">
        <v>0</v>
      </c>
      <c r="P172" s="11"/>
      <c r="Q172" s="59"/>
      <c r="R172" s="66">
        <f>M172/N172</f>
        <v>47.391304347826093</v>
      </c>
      <c r="S172" s="6" t="s">
        <v>148</v>
      </c>
      <c r="T172" s="7" t="s">
        <v>4</v>
      </c>
      <c r="U172" s="52">
        <v>109</v>
      </c>
      <c r="V172" s="62">
        <v>2.2999999999999998</v>
      </c>
    </row>
    <row r="173" spans="6:22" x14ac:dyDescent="0.35">
      <c r="F173" s="16"/>
      <c r="G173" s="16"/>
      <c r="H173" s="16"/>
      <c r="J173" s="45"/>
      <c r="K173" s="6" t="str">
        <f t="shared" si="9"/>
        <v>Pittsburgh</v>
      </c>
      <c r="L173" s="7" t="str">
        <f t="shared" si="10"/>
        <v>DEF</v>
      </c>
      <c r="M173" s="52">
        <f t="shared" si="11"/>
        <v>85</v>
      </c>
      <c r="N173" s="62">
        <f t="shared" si="12"/>
        <v>2.2999999999999998</v>
      </c>
      <c r="O173" s="4">
        <v>0</v>
      </c>
      <c r="P173" s="11"/>
      <c r="Q173" s="59"/>
      <c r="R173" s="66">
        <f>M173/N173</f>
        <v>36.956521739130437</v>
      </c>
      <c r="S173" s="6" t="s">
        <v>149</v>
      </c>
      <c r="T173" s="7" t="s">
        <v>4</v>
      </c>
      <c r="U173" s="52">
        <v>85</v>
      </c>
      <c r="V173" s="62">
        <v>2.2999999999999998</v>
      </c>
    </row>
    <row r="174" spans="6:22" x14ac:dyDescent="0.35">
      <c r="F174" s="16"/>
      <c r="G174" s="16"/>
      <c r="H174" s="16"/>
      <c r="J174" s="45"/>
      <c r="K174" s="6" t="str">
        <f t="shared" si="9"/>
        <v>San Diego</v>
      </c>
      <c r="L174" s="7" t="str">
        <f t="shared" si="10"/>
        <v>DEF</v>
      </c>
      <c r="M174" s="52">
        <f t="shared" si="11"/>
        <v>119</v>
      </c>
      <c r="N174" s="62">
        <f t="shared" si="12"/>
        <v>1.7249999999999999</v>
      </c>
      <c r="O174" s="4">
        <v>0</v>
      </c>
      <c r="P174" s="11"/>
      <c r="Q174" s="59"/>
      <c r="R174" s="66">
        <f>M174/N174</f>
        <v>68.985507246376812</v>
      </c>
      <c r="S174" s="6" t="s">
        <v>150</v>
      </c>
      <c r="T174" s="7" t="s">
        <v>4</v>
      </c>
      <c r="U174" s="52">
        <v>119</v>
      </c>
      <c r="V174" s="62">
        <v>1.7249999999999999</v>
      </c>
    </row>
    <row r="175" spans="6:22" x14ac:dyDescent="0.35">
      <c r="F175" s="16"/>
      <c r="G175" s="16"/>
      <c r="H175" s="16"/>
      <c r="J175" s="45"/>
      <c r="K175" s="6" t="str">
        <f t="shared" si="9"/>
        <v>San Francisco</v>
      </c>
      <c r="L175" s="7" t="str">
        <f t="shared" si="10"/>
        <v>DEF</v>
      </c>
      <c r="M175" s="52">
        <f t="shared" si="11"/>
        <v>155</v>
      </c>
      <c r="N175" s="62">
        <f t="shared" si="12"/>
        <v>4.0249999999999995</v>
      </c>
      <c r="O175" s="4">
        <v>1</v>
      </c>
      <c r="P175" s="11"/>
      <c r="Q175" s="59"/>
      <c r="R175" s="66">
        <f>M175/N175</f>
        <v>38.509316770186338</v>
      </c>
      <c r="S175" s="6" t="s">
        <v>151</v>
      </c>
      <c r="T175" s="7" t="s">
        <v>4</v>
      </c>
      <c r="U175" s="52">
        <v>155</v>
      </c>
      <c r="V175" s="62">
        <v>4.0249999999999995</v>
      </c>
    </row>
    <row r="176" spans="6:22" x14ac:dyDescent="0.35">
      <c r="F176" s="16"/>
      <c r="G176" s="16"/>
      <c r="H176" s="16"/>
      <c r="J176" s="45"/>
      <c r="K176" s="6" t="str">
        <f t="shared" si="9"/>
        <v>Seattle</v>
      </c>
      <c r="L176" s="7" t="str">
        <f t="shared" si="10"/>
        <v>DEF</v>
      </c>
      <c r="M176" s="52">
        <f t="shared" si="11"/>
        <v>126</v>
      </c>
      <c r="N176" s="62">
        <f t="shared" si="12"/>
        <v>4.5999999999999996</v>
      </c>
      <c r="O176" s="4">
        <v>0</v>
      </c>
      <c r="P176" s="11"/>
      <c r="Q176" s="59"/>
      <c r="R176" s="66">
        <f>M176/N176</f>
        <v>27.39130434782609</v>
      </c>
      <c r="S176" s="6" t="s">
        <v>152</v>
      </c>
      <c r="T176" s="7" t="s">
        <v>4</v>
      </c>
      <c r="U176" s="52">
        <v>126</v>
      </c>
      <c r="V176" s="62">
        <v>4.5999999999999996</v>
      </c>
    </row>
    <row r="177" spans="6:22" x14ac:dyDescent="0.35">
      <c r="F177" s="16"/>
      <c r="G177" s="16"/>
      <c r="H177" s="16"/>
      <c r="J177" s="45"/>
      <c r="K177" s="6" t="str">
        <f t="shared" si="9"/>
        <v>St. Louis</v>
      </c>
      <c r="L177" s="7" t="str">
        <f t="shared" si="10"/>
        <v>DEF</v>
      </c>
      <c r="M177" s="52">
        <f t="shared" si="11"/>
        <v>136</v>
      </c>
      <c r="N177" s="62">
        <f t="shared" si="12"/>
        <v>2.2999999999999998</v>
      </c>
      <c r="O177" s="4">
        <v>0</v>
      </c>
      <c r="P177" s="11"/>
      <c r="Q177" s="59"/>
      <c r="R177" s="66">
        <f>M177/N177</f>
        <v>59.130434782608702</v>
      </c>
      <c r="S177" s="6" t="s">
        <v>153</v>
      </c>
      <c r="T177" s="7" t="s">
        <v>4</v>
      </c>
      <c r="U177" s="52">
        <v>136</v>
      </c>
      <c r="V177" s="62">
        <v>2.2999999999999998</v>
      </c>
    </row>
    <row r="178" spans="6:22" x14ac:dyDescent="0.35">
      <c r="F178" s="16"/>
      <c r="G178" s="16"/>
      <c r="H178" s="16"/>
      <c r="J178" s="45"/>
      <c r="K178" s="6" t="str">
        <f t="shared" si="9"/>
        <v>Tampa Bay</v>
      </c>
      <c r="L178" s="7" t="str">
        <f t="shared" si="10"/>
        <v>DEF</v>
      </c>
      <c r="M178" s="52">
        <f t="shared" si="11"/>
        <v>103</v>
      </c>
      <c r="N178" s="62">
        <f t="shared" si="12"/>
        <v>1.7249999999999999</v>
      </c>
      <c r="O178" s="4">
        <v>0</v>
      </c>
      <c r="P178" s="11"/>
      <c r="Q178" s="59"/>
      <c r="R178" s="66">
        <f>M178/N178</f>
        <v>59.710144927536234</v>
      </c>
      <c r="S178" s="6" t="s">
        <v>154</v>
      </c>
      <c r="T178" s="7" t="s">
        <v>4</v>
      </c>
      <c r="U178" s="52">
        <v>103</v>
      </c>
      <c r="V178" s="62">
        <v>1.7249999999999999</v>
      </c>
    </row>
    <row r="179" spans="6:22" x14ac:dyDescent="0.35">
      <c r="F179" s="16"/>
      <c r="G179" s="16"/>
      <c r="H179" s="16"/>
      <c r="J179" s="45"/>
      <c r="K179" s="6" t="str">
        <f t="shared" si="9"/>
        <v>Tennessee</v>
      </c>
      <c r="L179" s="7" t="str">
        <f t="shared" si="10"/>
        <v>DEF</v>
      </c>
      <c r="M179" s="52">
        <f t="shared" si="11"/>
        <v>114</v>
      </c>
      <c r="N179" s="62">
        <f t="shared" si="12"/>
        <v>1.7249999999999999</v>
      </c>
      <c r="O179" s="4">
        <v>0</v>
      </c>
      <c r="P179" s="11"/>
      <c r="Q179" s="59"/>
      <c r="R179" s="66">
        <f>M179/N179</f>
        <v>66.08695652173914</v>
      </c>
      <c r="S179" s="6" t="s">
        <v>155</v>
      </c>
      <c r="T179" s="7" t="s">
        <v>4</v>
      </c>
      <c r="U179" s="52">
        <v>114</v>
      </c>
      <c r="V179" s="62">
        <v>1.7249999999999999</v>
      </c>
    </row>
    <row r="180" spans="6:22" x14ac:dyDescent="0.35">
      <c r="F180" s="16"/>
      <c r="G180" s="16"/>
      <c r="H180" s="16"/>
      <c r="J180" s="45"/>
      <c r="K180" s="6" t="str">
        <f t="shared" si="9"/>
        <v>Washington</v>
      </c>
      <c r="L180" s="7" t="str">
        <f t="shared" si="10"/>
        <v>DEF</v>
      </c>
      <c r="M180" s="52">
        <f t="shared" si="11"/>
        <v>101</v>
      </c>
      <c r="N180" s="62">
        <f t="shared" si="12"/>
        <v>1.7249999999999999</v>
      </c>
      <c r="O180" s="4">
        <v>0</v>
      </c>
      <c r="P180" s="11"/>
      <c r="Q180" s="59"/>
      <c r="R180" s="66">
        <f>M180/N180</f>
        <v>58.550724637681164</v>
      </c>
      <c r="S180" s="6" t="s">
        <v>156</v>
      </c>
      <c r="T180" s="7" t="s">
        <v>4</v>
      </c>
      <c r="U180" s="52">
        <v>101</v>
      </c>
      <c r="V180" s="62">
        <v>1.7249999999999999</v>
      </c>
    </row>
    <row r="181" spans="6:22" x14ac:dyDescent="0.35">
      <c r="F181" s="16"/>
      <c r="G181" s="16"/>
      <c r="H181" s="16"/>
      <c r="J181" s="45"/>
      <c r="K181" s="6" t="str">
        <f t="shared" si="9"/>
        <v>Matt Bryant</v>
      </c>
      <c r="L181" s="7" t="str">
        <f t="shared" si="10"/>
        <v>K</v>
      </c>
      <c r="M181" s="52">
        <f t="shared" si="11"/>
        <v>142</v>
      </c>
      <c r="N181" s="62">
        <f t="shared" si="12"/>
        <v>2.875</v>
      </c>
      <c r="O181" s="4">
        <v>0</v>
      </c>
      <c r="P181" s="11"/>
      <c r="Q181" s="59"/>
      <c r="R181" s="66">
        <f>M181/N181</f>
        <v>49.391304347826086</v>
      </c>
      <c r="S181" s="6" t="s">
        <v>157</v>
      </c>
      <c r="T181" s="7" t="s">
        <v>5</v>
      </c>
      <c r="U181" s="52">
        <v>142</v>
      </c>
      <c r="V181" s="62">
        <v>2.875</v>
      </c>
    </row>
    <row r="182" spans="6:22" x14ac:dyDescent="0.35">
      <c r="F182" s="16"/>
      <c r="G182" s="16"/>
      <c r="H182" s="16"/>
      <c r="J182" s="45"/>
      <c r="K182" s="6" t="str">
        <f t="shared" si="9"/>
        <v>Stephen Gostkowski</v>
      </c>
      <c r="L182" s="7" t="str">
        <f t="shared" si="10"/>
        <v>K</v>
      </c>
      <c r="M182" s="52">
        <f t="shared" si="11"/>
        <v>144.5</v>
      </c>
      <c r="N182" s="62">
        <f t="shared" si="12"/>
        <v>2.875</v>
      </c>
      <c r="O182" s="4">
        <v>0</v>
      </c>
      <c r="P182" s="11"/>
      <c r="Q182" s="59"/>
      <c r="R182" s="66">
        <f>M182/N182</f>
        <v>50.260869565217391</v>
      </c>
      <c r="S182" s="6" t="s">
        <v>158</v>
      </c>
      <c r="T182" s="7" t="s">
        <v>5</v>
      </c>
      <c r="U182" s="52">
        <v>144.5</v>
      </c>
      <c r="V182" s="62">
        <v>2.875</v>
      </c>
    </row>
    <row r="183" spans="6:22" x14ac:dyDescent="0.35">
      <c r="F183" s="16"/>
      <c r="G183" s="16"/>
      <c r="H183" s="16"/>
      <c r="J183" s="45"/>
      <c r="K183" s="6" t="str">
        <f t="shared" si="9"/>
        <v>Blair Walsh</v>
      </c>
      <c r="L183" s="7" t="str">
        <f t="shared" si="10"/>
        <v>K</v>
      </c>
      <c r="M183" s="52">
        <f t="shared" si="11"/>
        <v>151.5</v>
      </c>
      <c r="N183" s="62">
        <f t="shared" si="12"/>
        <v>2.875</v>
      </c>
      <c r="O183" s="4">
        <v>1</v>
      </c>
      <c r="P183" s="11"/>
      <c r="Q183" s="59"/>
      <c r="R183" s="66">
        <f>M183/N183</f>
        <v>52.695652173913047</v>
      </c>
      <c r="S183" s="6" t="s">
        <v>159</v>
      </c>
      <c r="T183" s="7" t="s">
        <v>5</v>
      </c>
      <c r="U183" s="52">
        <v>151.5</v>
      </c>
      <c r="V183" s="62">
        <v>2.875</v>
      </c>
    </row>
    <row r="184" spans="6:22" x14ac:dyDescent="0.35">
      <c r="F184" s="16"/>
      <c r="G184" s="16"/>
      <c r="H184" s="16"/>
      <c r="J184" s="45"/>
      <c r="K184" s="6" t="str">
        <f t="shared" si="9"/>
        <v>Matt Prater</v>
      </c>
      <c r="L184" s="7" t="str">
        <f t="shared" si="10"/>
        <v>K</v>
      </c>
      <c r="M184" s="52">
        <f t="shared" si="11"/>
        <v>148</v>
      </c>
      <c r="N184" s="62">
        <f t="shared" si="12"/>
        <v>2.2999999999999998</v>
      </c>
      <c r="O184" s="4">
        <v>0</v>
      </c>
      <c r="P184" s="11"/>
      <c r="Q184" s="59"/>
      <c r="R184" s="66">
        <f>M184/N184</f>
        <v>64.34782608695653</v>
      </c>
      <c r="S184" s="6" t="s">
        <v>160</v>
      </c>
      <c r="T184" s="7" t="s">
        <v>5</v>
      </c>
      <c r="U184" s="52">
        <v>148</v>
      </c>
      <c r="V184" s="62">
        <v>2.2999999999999998</v>
      </c>
    </row>
    <row r="185" spans="6:22" x14ac:dyDescent="0.35">
      <c r="F185" s="16"/>
      <c r="G185" s="16"/>
      <c r="H185" s="16"/>
      <c r="J185" s="45"/>
      <c r="K185" s="6" t="str">
        <f t="shared" si="9"/>
        <v>Justin Tucker</v>
      </c>
      <c r="L185" s="7" t="str">
        <f t="shared" si="10"/>
        <v>K</v>
      </c>
      <c r="M185" s="52">
        <f t="shared" si="11"/>
        <v>150.5</v>
      </c>
      <c r="N185" s="62">
        <f t="shared" si="12"/>
        <v>2.2999999999999998</v>
      </c>
      <c r="O185" s="4">
        <v>0</v>
      </c>
      <c r="P185" s="11"/>
      <c r="Q185" s="59"/>
      <c r="R185" s="66">
        <f>M185/N185</f>
        <v>65.434782608695656</v>
      </c>
      <c r="S185" s="6" t="s">
        <v>161</v>
      </c>
      <c r="T185" s="7" t="s">
        <v>5</v>
      </c>
      <c r="U185" s="52">
        <v>150.5</v>
      </c>
      <c r="V185" s="62">
        <v>2.2999999999999998</v>
      </c>
    </row>
    <row r="186" spans="6:22" x14ac:dyDescent="0.35">
      <c r="F186" s="16"/>
      <c r="G186" s="16"/>
      <c r="H186" s="16"/>
      <c r="J186" s="45"/>
      <c r="K186" s="6" t="str">
        <f t="shared" si="9"/>
        <v>Josh Brown</v>
      </c>
      <c r="L186" s="7" t="str">
        <f t="shared" si="10"/>
        <v>K</v>
      </c>
      <c r="M186" s="52">
        <f t="shared" si="11"/>
        <v>143</v>
      </c>
      <c r="N186" s="62">
        <f t="shared" si="12"/>
        <v>1.7249999999999999</v>
      </c>
      <c r="O186" s="4">
        <v>0</v>
      </c>
      <c r="P186" s="11"/>
      <c r="Q186" s="59"/>
      <c r="R186" s="66">
        <f>M186/N186</f>
        <v>82.898550724637687</v>
      </c>
      <c r="S186" s="6" t="s">
        <v>162</v>
      </c>
      <c r="T186" s="7" t="s">
        <v>5</v>
      </c>
      <c r="U186" s="52">
        <v>143</v>
      </c>
      <c r="V186" s="62">
        <v>1.7249999999999999</v>
      </c>
    </row>
    <row r="187" spans="6:22" x14ac:dyDescent="0.35">
      <c r="F187" s="16"/>
      <c r="G187" s="16"/>
      <c r="H187" s="16"/>
      <c r="J187" s="45"/>
      <c r="K187" s="6" t="str">
        <f t="shared" si="9"/>
        <v>David Akers</v>
      </c>
      <c r="L187" s="7" t="str">
        <f t="shared" si="10"/>
        <v>K</v>
      </c>
      <c r="M187" s="52">
        <f t="shared" si="11"/>
        <v>127.5</v>
      </c>
      <c r="N187" s="62">
        <f t="shared" si="12"/>
        <v>2.2999999999999998</v>
      </c>
      <c r="O187" s="4">
        <v>0</v>
      </c>
      <c r="P187" s="11"/>
      <c r="Q187" s="59"/>
      <c r="R187" s="66">
        <f>M187/N187</f>
        <v>55.434782608695656</v>
      </c>
      <c r="S187" s="6" t="s">
        <v>163</v>
      </c>
      <c r="T187" s="7" t="s">
        <v>5</v>
      </c>
      <c r="U187" s="52">
        <v>127.5</v>
      </c>
      <c r="V187" s="62">
        <v>2.2999999999999998</v>
      </c>
    </row>
    <row r="188" spans="6:22" x14ac:dyDescent="0.35">
      <c r="F188" s="16"/>
      <c r="G188" s="16"/>
      <c r="H188" s="16"/>
      <c r="J188" s="45"/>
      <c r="K188" s="6" t="str">
        <f t="shared" si="9"/>
        <v>Lawrence Tynes</v>
      </c>
      <c r="L188" s="7" t="str">
        <f t="shared" si="10"/>
        <v>K</v>
      </c>
      <c r="M188" s="52">
        <f t="shared" si="11"/>
        <v>127.5</v>
      </c>
      <c r="N188" s="62">
        <f t="shared" si="12"/>
        <v>1.7249999999999999</v>
      </c>
      <c r="O188" s="4">
        <v>0</v>
      </c>
      <c r="P188" s="11"/>
      <c r="Q188" s="59"/>
      <c r="R188" s="66">
        <f>M188/N188</f>
        <v>73.913043478260875</v>
      </c>
      <c r="S188" s="6" t="s">
        <v>164</v>
      </c>
      <c r="T188" s="7" t="s">
        <v>5</v>
      </c>
      <c r="U188" s="52">
        <v>127.5</v>
      </c>
      <c r="V188" s="62">
        <v>1.7249999999999999</v>
      </c>
    </row>
    <row r="189" spans="6:22" x14ac:dyDescent="0.35">
      <c r="F189" s="16"/>
      <c r="G189" s="16"/>
      <c r="H189" s="16"/>
      <c r="J189" s="45"/>
      <c r="K189" s="6" t="str">
        <f t="shared" si="9"/>
        <v>Sebastian Janikowski</v>
      </c>
      <c r="L189" s="7" t="str">
        <f t="shared" si="10"/>
        <v>K</v>
      </c>
      <c r="M189" s="52">
        <f t="shared" si="11"/>
        <v>135.5</v>
      </c>
      <c r="N189" s="62">
        <f t="shared" si="12"/>
        <v>2.2999999999999998</v>
      </c>
      <c r="O189" s="4">
        <v>0</v>
      </c>
      <c r="P189" s="11"/>
      <c r="Q189" s="59"/>
      <c r="R189" s="66">
        <f>M189/N189</f>
        <v>58.913043478260875</v>
      </c>
      <c r="S189" s="6" t="s">
        <v>165</v>
      </c>
      <c r="T189" s="7" t="s">
        <v>5</v>
      </c>
      <c r="U189" s="52">
        <v>135.5</v>
      </c>
      <c r="V189" s="62">
        <v>2.2999999999999998</v>
      </c>
    </row>
    <row r="190" spans="6:22" x14ac:dyDescent="0.35">
      <c r="F190" s="16"/>
      <c r="G190" s="16"/>
      <c r="H190" s="16"/>
      <c r="J190" s="45"/>
      <c r="K190" s="6" t="str">
        <f t="shared" si="9"/>
        <v>Dan Bailey</v>
      </c>
      <c r="L190" s="7" t="str">
        <f t="shared" si="10"/>
        <v>K</v>
      </c>
      <c r="M190" s="52">
        <f t="shared" si="11"/>
        <v>134.5</v>
      </c>
      <c r="N190" s="62">
        <f t="shared" si="12"/>
        <v>1.7249999999999999</v>
      </c>
      <c r="O190" s="4">
        <v>0</v>
      </c>
      <c r="P190" s="11"/>
      <c r="Q190" s="59"/>
      <c r="R190" s="66">
        <f>M190/N190</f>
        <v>77.971014492753625</v>
      </c>
      <c r="S190" s="6" t="s">
        <v>166</v>
      </c>
      <c r="T190" s="7" t="s">
        <v>5</v>
      </c>
      <c r="U190" s="52">
        <v>134.5</v>
      </c>
      <c r="V190" s="62">
        <v>1.7249999999999999</v>
      </c>
    </row>
    <row r="191" spans="6:22" x14ac:dyDescent="0.35">
      <c r="F191" s="16"/>
      <c r="G191" s="16"/>
      <c r="H191" s="16"/>
      <c r="J191" s="45"/>
      <c r="K191" s="6" t="str">
        <f t="shared" si="9"/>
        <v>Mason Crosby</v>
      </c>
      <c r="L191" s="7" t="str">
        <f t="shared" si="10"/>
        <v>K</v>
      </c>
      <c r="M191" s="52">
        <f t="shared" si="11"/>
        <v>125</v>
      </c>
      <c r="N191" s="62">
        <f t="shared" si="12"/>
        <v>2.2999999999999998</v>
      </c>
      <c r="O191" s="4">
        <v>0</v>
      </c>
      <c r="P191" s="11"/>
      <c r="Q191" s="59"/>
      <c r="R191" s="66">
        <f>M191/N191</f>
        <v>54.347826086956523</v>
      </c>
      <c r="S191" s="6" t="s">
        <v>167</v>
      </c>
      <c r="T191" s="7" t="s">
        <v>5</v>
      </c>
      <c r="U191" s="52">
        <v>125</v>
      </c>
      <c r="V191" s="62">
        <v>2.2999999999999998</v>
      </c>
    </row>
    <row r="192" spans="6:22" x14ac:dyDescent="0.35">
      <c r="F192" s="16"/>
      <c r="G192" s="16"/>
      <c r="H192" s="16"/>
      <c r="J192" s="45"/>
      <c r="K192" s="6" t="str">
        <f t="shared" si="9"/>
        <v>Greg Zuerlein</v>
      </c>
      <c r="L192" s="7" t="str">
        <f t="shared" si="10"/>
        <v>K</v>
      </c>
      <c r="M192" s="52">
        <f t="shared" si="11"/>
        <v>137.5</v>
      </c>
      <c r="N192" s="62">
        <f t="shared" si="12"/>
        <v>2.2999999999999998</v>
      </c>
      <c r="O192" s="4">
        <v>0</v>
      </c>
      <c r="P192" s="11"/>
      <c r="Q192" s="59"/>
      <c r="R192" s="66">
        <f>M192/N192</f>
        <v>59.782608695652179</v>
      </c>
      <c r="S192" s="6" t="s">
        <v>168</v>
      </c>
      <c r="T192" s="7" t="s">
        <v>5</v>
      </c>
      <c r="U192" s="52">
        <v>137.5</v>
      </c>
      <c r="V192" s="62">
        <v>2.2999999999999998</v>
      </c>
    </row>
    <row r="193" spans="6:22" x14ac:dyDescent="0.35">
      <c r="F193" s="16"/>
      <c r="G193" s="16"/>
      <c r="H193" s="16"/>
      <c r="J193" s="45"/>
      <c r="K193" s="6" t="str">
        <f t="shared" si="9"/>
        <v>Steven Hauschka</v>
      </c>
      <c r="L193" s="7" t="str">
        <f t="shared" si="10"/>
        <v>K</v>
      </c>
      <c r="M193" s="52">
        <f t="shared" si="11"/>
        <v>138</v>
      </c>
      <c r="N193" s="62">
        <f t="shared" si="12"/>
        <v>2.2999999999999998</v>
      </c>
      <c r="O193" s="4">
        <v>0</v>
      </c>
      <c r="P193" s="11"/>
      <c r="Q193" s="59"/>
      <c r="R193" s="66">
        <f>M193/N193</f>
        <v>60.000000000000007</v>
      </c>
      <c r="S193" s="6" t="s">
        <v>169</v>
      </c>
      <c r="T193" s="7" t="s">
        <v>5</v>
      </c>
      <c r="U193" s="52">
        <v>138</v>
      </c>
      <c r="V193" s="62">
        <v>2.2999999999999998</v>
      </c>
    </row>
    <row r="194" spans="6:22" x14ac:dyDescent="0.35">
      <c r="F194" s="16"/>
      <c r="G194" s="16"/>
      <c r="H194" s="16"/>
      <c r="J194" s="45"/>
      <c r="K194" s="6" t="str">
        <f t="shared" si="9"/>
        <v>Mike Nugent</v>
      </c>
      <c r="L194" s="7" t="str">
        <f t="shared" si="10"/>
        <v>K</v>
      </c>
      <c r="M194" s="52">
        <f t="shared" si="11"/>
        <v>108.5</v>
      </c>
      <c r="N194" s="62">
        <f t="shared" si="12"/>
        <v>1.7249999999999999</v>
      </c>
      <c r="O194" s="4">
        <v>0</v>
      </c>
      <c r="P194" s="11"/>
      <c r="Q194" s="59"/>
      <c r="R194" s="66">
        <f>M194/N194</f>
        <v>62.898550724637687</v>
      </c>
      <c r="S194" s="6" t="s">
        <v>170</v>
      </c>
      <c r="T194" s="7" t="s">
        <v>5</v>
      </c>
      <c r="U194" s="52">
        <v>108.5</v>
      </c>
      <c r="V194" s="62">
        <v>1.7249999999999999</v>
      </c>
    </row>
    <row r="195" spans="6:22" x14ac:dyDescent="0.35">
      <c r="F195" s="16"/>
      <c r="G195" s="16"/>
      <c r="H195" s="16"/>
      <c r="J195" s="45"/>
      <c r="K195" s="6" t="str">
        <f t="shared" ref="K195:K197" si="13">S195</f>
        <v>Garrett Hartley</v>
      </c>
      <c r="L195" s="7" t="str">
        <f t="shared" ref="L195:L197" si="14">T195</f>
        <v>K</v>
      </c>
      <c r="M195" s="52">
        <f t="shared" ref="M195:M197" si="15">U195</f>
        <v>133</v>
      </c>
      <c r="N195" s="62">
        <f t="shared" ref="N195:N197" si="16">V195</f>
        <v>2.2999999999999998</v>
      </c>
      <c r="O195" s="4">
        <v>0</v>
      </c>
      <c r="P195" s="11"/>
      <c r="Q195" s="59"/>
      <c r="R195" s="66">
        <f>M195/N195</f>
        <v>57.826086956521742</v>
      </c>
      <c r="S195" s="6" t="s">
        <v>171</v>
      </c>
      <c r="T195" s="7" t="s">
        <v>5</v>
      </c>
      <c r="U195" s="52">
        <v>133</v>
      </c>
      <c r="V195" s="62">
        <v>2.2999999999999998</v>
      </c>
    </row>
    <row r="196" spans="6:22" x14ac:dyDescent="0.35">
      <c r="F196" s="16"/>
      <c r="G196" s="16"/>
      <c r="H196" s="16"/>
      <c r="J196" s="45"/>
      <c r="K196" s="6" t="str">
        <f t="shared" si="13"/>
        <v>Robbie Gould</v>
      </c>
      <c r="L196" s="7" t="str">
        <f t="shared" si="14"/>
        <v>K</v>
      </c>
      <c r="M196" s="52">
        <f t="shared" si="15"/>
        <v>112</v>
      </c>
      <c r="N196" s="62">
        <f t="shared" si="16"/>
        <v>2.2999999999999998</v>
      </c>
      <c r="O196" s="4">
        <v>0</v>
      </c>
      <c r="P196" s="11"/>
      <c r="Q196" s="59"/>
      <c r="R196" s="66">
        <f>M196/N196</f>
        <v>48.695652173913047</v>
      </c>
      <c r="S196" s="6" t="s">
        <v>172</v>
      </c>
      <c r="T196" s="7" t="s">
        <v>5</v>
      </c>
      <c r="U196" s="52">
        <v>112</v>
      </c>
      <c r="V196" s="62">
        <v>2.2999999999999998</v>
      </c>
    </row>
    <row r="197" spans="6:22" x14ac:dyDescent="0.35">
      <c r="F197" s="16"/>
      <c r="G197" s="16"/>
      <c r="H197" s="16"/>
      <c r="J197" s="45"/>
      <c r="K197" s="6" t="str">
        <f t="shared" si="13"/>
        <v>Adam Vinatieri</v>
      </c>
      <c r="L197" s="7" t="str">
        <f t="shared" si="14"/>
        <v>K</v>
      </c>
      <c r="M197" s="52">
        <f t="shared" si="15"/>
        <v>123.5</v>
      </c>
      <c r="N197" s="62">
        <f t="shared" si="16"/>
        <v>2.2999999999999998</v>
      </c>
      <c r="O197" s="4">
        <v>0</v>
      </c>
      <c r="P197" s="11"/>
      <c r="Q197" s="59"/>
      <c r="R197" s="66">
        <f>M197/N197</f>
        <v>53.695652173913047</v>
      </c>
      <c r="S197" s="6" t="s">
        <v>173</v>
      </c>
      <c r="T197" s="7" t="s">
        <v>5</v>
      </c>
      <c r="U197" s="52">
        <v>123.5</v>
      </c>
      <c r="V197" s="62">
        <v>2.2999999999999998</v>
      </c>
    </row>
    <row r="198" spans="6:22" x14ac:dyDescent="0.35">
      <c r="F198" s="16"/>
      <c r="G198" s="16"/>
      <c r="H198" s="16"/>
      <c r="N198" s="12"/>
      <c r="P198" s="12"/>
      <c r="Q198" s="60"/>
      <c r="R198" s="60"/>
      <c r="S198" s="5"/>
      <c r="T198" s="5"/>
      <c r="U198" s="5"/>
      <c r="V198" s="5"/>
    </row>
    <row r="199" spans="6:22" x14ac:dyDescent="0.35">
      <c r="F199" s="16"/>
      <c r="G199" s="16"/>
      <c r="H199" s="16"/>
      <c r="S199" s="5"/>
      <c r="T199" s="5"/>
      <c r="U199" s="5"/>
      <c r="V199" s="5"/>
    </row>
    <row r="200" spans="6:22" x14ac:dyDescent="0.35">
      <c r="F200" s="16"/>
      <c r="G200" s="16"/>
      <c r="H200" s="16"/>
      <c r="S200" s="5"/>
      <c r="T200" s="5"/>
      <c r="U200" s="5"/>
      <c r="V200" s="5"/>
    </row>
    <row r="201" spans="6:22" x14ac:dyDescent="0.35">
      <c r="F201" s="16"/>
      <c r="G201" s="16"/>
      <c r="H201" s="16"/>
      <c r="S201" s="5"/>
      <c r="T201" s="5"/>
      <c r="U201" s="5"/>
      <c r="V201" s="5"/>
    </row>
    <row r="202" spans="6:22" x14ac:dyDescent="0.35">
      <c r="F202" s="16"/>
      <c r="G202" s="16"/>
      <c r="H202" s="16"/>
      <c r="S202" s="5"/>
      <c r="T202" s="5"/>
      <c r="U202" s="5"/>
      <c r="V202" s="5"/>
    </row>
    <row r="203" spans="6:22" x14ac:dyDescent="0.35">
      <c r="F203" s="16"/>
      <c r="G203" s="16"/>
      <c r="H203" s="16"/>
      <c r="S203" s="5"/>
      <c r="T203" s="5"/>
      <c r="U203" s="5"/>
      <c r="V203" s="5"/>
    </row>
    <row r="204" spans="6:22" x14ac:dyDescent="0.35">
      <c r="F204" s="16"/>
      <c r="G204" s="16"/>
      <c r="H204" s="16"/>
      <c r="S204" s="5"/>
      <c r="T204" s="5"/>
      <c r="U204" s="5"/>
      <c r="V204" s="5"/>
    </row>
    <row r="205" spans="6:22" x14ac:dyDescent="0.35">
      <c r="F205" s="16"/>
      <c r="G205" s="16"/>
      <c r="H205" s="16"/>
      <c r="S205" s="5"/>
      <c r="T205" s="5"/>
      <c r="U205" s="5"/>
      <c r="V205" s="5"/>
    </row>
    <row r="206" spans="6:22" x14ac:dyDescent="0.35">
      <c r="F206" s="16"/>
      <c r="G206" s="16"/>
      <c r="H206" s="16"/>
      <c r="S206" s="5"/>
      <c r="T206" s="5"/>
      <c r="U206" s="5"/>
      <c r="V206" s="5"/>
    </row>
    <row r="207" spans="6:22" x14ac:dyDescent="0.35">
      <c r="F207" s="16"/>
      <c r="G207" s="16"/>
      <c r="H207" s="16"/>
      <c r="S207" s="5"/>
      <c r="T207" s="5"/>
      <c r="U207" s="5"/>
      <c r="V207" s="5"/>
    </row>
    <row r="208" spans="6:22" x14ac:dyDescent="0.35">
      <c r="F208" s="16"/>
      <c r="G208" s="16"/>
      <c r="H208" s="16"/>
      <c r="S208" s="5"/>
      <c r="T208" s="5"/>
      <c r="U208" s="5"/>
      <c r="V208" s="5"/>
    </row>
    <row r="209" spans="6:22" x14ac:dyDescent="0.35">
      <c r="F209" s="16"/>
      <c r="G209" s="16"/>
      <c r="H209" s="16"/>
      <c r="S209" s="5"/>
      <c r="T209" s="5"/>
      <c r="U209" s="5"/>
      <c r="V209" s="5"/>
    </row>
    <row r="210" spans="6:22" x14ac:dyDescent="0.35">
      <c r="F210" s="16"/>
      <c r="G210" s="16"/>
      <c r="H210" s="16"/>
      <c r="S210" s="5"/>
      <c r="T210" s="5"/>
      <c r="U210" s="5"/>
      <c r="V210" s="5"/>
    </row>
    <row r="211" spans="6:22" x14ac:dyDescent="0.35">
      <c r="F211" s="16"/>
      <c r="G211" s="16"/>
      <c r="H211" s="16"/>
      <c r="S211" s="5"/>
      <c r="T211" s="5"/>
      <c r="U211" s="5"/>
      <c r="V211" s="5"/>
    </row>
    <row r="212" spans="6:22" x14ac:dyDescent="0.35">
      <c r="F212" s="16"/>
      <c r="G212" s="16"/>
      <c r="H212" s="16"/>
      <c r="S212" s="5"/>
      <c r="T212" s="5"/>
      <c r="U212" s="5"/>
      <c r="V212" s="5"/>
    </row>
    <row r="213" spans="6:22" x14ac:dyDescent="0.35">
      <c r="F213" s="16"/>
      <c r="G213" s="16"/>
      <c r="H213" s="16"/>
      <c r="S213" s="5"/>
      <c r="T213" s="5"/>
      <c r="U213" s="5"/>
      <c r="V213" s="5"/>
    </row>
    <row r="214" spans="6:22" x14ac:dyDescent="0.35">
      <c r="F214" s="16"/>
      <c r="G214" s="16"/>
      <c r="H214" s="16"/>
      <c r="S214" s="5"/>
      <c r="T214" s="5"/>
      <c r="U214" s="5"/>
      <c r="V214" s="5"/>
    </row>
    <row r="215" spans="6:22" x14ac:dyDescent="0.35">
      <c r="F215" s="16"/>
      <c r="G215" s="16"/>
      <c r="H215" s="16"/>
      <c r="S215" s="5"/>
      <c r="T215" s="5"/>
      <c r="U215" s="5"/>
      <c r="V215" s="5"/>
    </row>
    <row r="216" spans="6:22" x14ac:dyDescent="0.35">
      <c r="F216" s="16"/>
      <c r="G216" s="16"/>
      <c r="H216" s="16"/>
      <c r="S216" s="5"/>
      <c r="T216" s="5"/>
      <c r="U216" s="5"/>
      <c r="V216" s="5"/>
    </row>
    <row r="217" spans="6:22" x14ac:dyDescent="0.35">
      <c r="F217" s="16"/>
      <c r="G217" s="16"/>
      <c r="H217" s="16"/>
      <c r="S217" s="5"/>
      <c r="T217" s="5"/>
      <c r="U217" s="5"/>
      <c r="V217" s="5"/>
    </row>
    <row r="218" spans="6:22" x14ac:dyDescent="0.35">
      <c r="F218" s="16"/>
      <c r="G218" s="16"/>
      <c r="H218" s="16"/>
      <c r="S218" s="5"/>
      <c r="T218" s="5"/>
      <c r="U218" s="5"/>
      <c r="V218" s="5"/>
    </row>
    <row r="219" spans="6:22" x14ac:dyDescent="0.35">
      <c r="F219" s="16"/>
      <c r="G219" s="16"/>
      <c r="H219" s="16"/>
      <c r="S219" s="5"/>
      <c r="T219" s="5"/>
      <c r="U219" s="5"/>
      <c r="V219" s="5"/>
    </row>
    <row r="220" spans="6:22" x14ac:dyDescent="0.35">
      <c r="F220" s="16"/>
      <c r="G220" s="16"/>
      <c r="H220" s="16"/>
      <c r="S220" s="5"/>
      <c r="T220" s="5"/>
      <c r="U220" s="5"/>
      <c r="V220" s="5"/>
    </row>
    <row r="221" spans="6:22" x14ac:dyDescent="0.35">
      <c r="F221" s="16"/>
      <c r="G221" s="16"/>
      <c r="H221" s="16"/>
      <c r="S221" s="5"/>
      <c r="T221" s="5"/>
      <c r="U221" s="5"/>
      <c r="V221" s="5"/>
    </row>
    <row r="222" spans="6:22" x14ac:dyDescent="0.35">
      <c r="S222" s="5"/>
      <c r="T222" s="5"/>
      <c r="U222" s="5"/>
      <c r="V222" s="5"/>
    </row>
    <row r="223" spans="6:22" x14ac:dyDescent="0.35">
      <c r="S223" s="5"/>
      <c r="T223" s="5"/>
      <c r="U223" s="5"/>
      <c r="V223" s="5"/>
    </row>
    <row r="224" spans="6:22" x14ac:dyDescent="0.35">
      <c r="S224" s="5"/>
      <c r="T224" s="5"/>
      <c r="U224" s="5"/>
      <c r="V224" s="5"/>
    </row>
    <row r="225" spans="19:22" x14ac:dyDescent="0.35">
      <c r="S225" s="5"/>
      <c r="T225" s="5"/>
      <c r="U225" s="5"/>
      <c r="V225" s="5"/>
    </row>
    <row r="226" spans="19:22" x14ac:dyDescent="0.35">
      <c r="S226" s="5"/>
      <c r="T226" s="5"/>
      <c r="U226" s="5"/>
      <c r="V226" s="5"/>
    </row>
    <row r="227" spans="19:22" x14ac:dyDescent="0.35">
      <c r="S227" s="5"/>
      <c r="T227" s="5"/>
      <c r="U227" s="5"/>
      <c r="V227" s="5"/>
    </row>
    <row r="228" spans="19:22" x14ac:dyDescent="0.35">
      <c r="S228" s="5"/>
      <c r="T228" s="5"/>
      <c r="U228" s="5"/>
      <c r="V228" s="5"/>
    </row>
    <row r="229" spans="19:22" x14ac:dyDescent="0.35">
      <c r="S229" s="5"/>
      <c r="T229" s="5"/>
      <c r="U229" s="5"/>
      <c r="V229" s="5"/>
    </row>
    <row r="230" spans="19:22" x14ac:dyDescent="0.35">
      <c r="S230" s="5"/>
      <c r="T230" s="5"/>
      <c r="U230" s="5"/>
      <c r="V230" s="5"/>
    </row>
    <row r="231" spans="19:22" x14ac:dyDescent="0.35">
      <c r="S231" s="5"/>
      <c r="T231" s="5"/>
      <c r="U231" s="5"/>
      <c r="V231" s="5"/>
    </row>
    <row r="232" spans="19:22" x14ac:dyDescent="0.35">
      <c r="S232" s="5"/>
      <c r="T232" s="5"/>
      <c r="U232" s="5"/>
      <c r="V232" s="5"/>
    </row>
    <row r="233" spans="19:22" x14ac:dyDescent="0.35">
      <c r="S233" s="5"/>
      <c r="T233" s="5"/>
      <c r="U233" s="5"/>
      <c r="V233" s="5"/>
    </row>
    <row r="234" spans="19:22" x14ac:dyDescent="0.35">
      <c r="S234" s="5"/>
      <c r="T234" s="5"/>
      <c r="U234" s="5"/>
      <c r="V234" s="5"/>
    </row>
    <row r="235" spans="19:22" x14ac:dyDescent="0.35">
      <c r="S235" s="5"/>
      <c r="T235" s="5"/>
      <c r="U235" s="5"/>
      <c r="V235" s="5"/>
    </row>
    <row r="236" spans="19:22" x14ac:dyDescent="0.35">
      <c r="S236" s="5"/>
      <c r="T236" s="5"/>
      <c r="U236" s="5"/>
      <c r="V236" s="5"/>
    </row>
    <row r="237" spans="19:22" x14ac:dyDescent="0.35">
      <c r="S237" s="5"/>
      <c r="T237" s="5"/>
      <c r="U237" s="5"/>
      <c r="V237" s="5"/>
    </row>
    <row r="238" spans="19:22" x14ac:dyDescent="0.35">
      <c r="S238" s="5"/>
      <c r="T238" s="5"/>
      <c r="U238" s="5"/>
      <c r="V238" s="5"/>
    </row>
    <row r="239" spans="19:22" x14ac:dyDescent="0.35">
      <c r="S239" s="5"/>
      <c r="T239" s="5"/>
      <c r="U239" s="5"/>
      <c r="V239" s="5"/>
    </row>
    <row r="240" spans="19:22" x14ac:dyDescent="0.35">
      <c r="S240" s="5"/>
      <c r="T240" s="5"/>
      <c r="U240" s="5"/>
      <c r="V240" s="5"/>
    </row>
    <row r="241" spans="19:22" x14ac:dyDescent="0.35">
      <c r="S241" s="5"/>
      <c r="T241" s="5"/>
      <c r="U241" s="5"/>
      <c r="V241" s="5"/>
    </row>
    <row r="242" spans="19:22" x14ac:dyDescent="0.35">
      <c r="S242" s="5"/>
      <c r="T242" s="5"/>
      <c r="U242" s="5"/>
      <c r="V242" s="5"/>
    </row>
    <row r="243" spans="19:22" x14ac:dyDescent="0.35">
      <c r="S243" s="5"/>
      <c r="T243" s="5"/>
      <c r="U243" s="5"/>
      <c r="V243" s="5"/>
    </row>
    <row r="244" spans="19:22" x14ac:dyDescent="0.35">
      <c r="S244" s="5"/>
      <c r="T244" s="5"/>
      <c r="U244" s="5"/>
      <c r="V244" s="5"/>
    </row>
    <row r="245" spans="19:22" x14ac:dyDescent="0.35">
      <c r="S245" s="5"/>
      <c r="T245" s="5"/>
      <c r="U245" s="5"/>
      <c r="V245" s="5"/>
    </row>
    <row r="246" spans="19:22" x14ac:dyDescent="0.35">
      <c r="S246" s="5"/>
      <c r="T246" s="5"/>
      <c r="U246" s="5"/>
      <c r="V246" s="5"/>
    </row>
    <row r="247" spans="19:22" x14ac:dyDescent="0.35">
      <c r="S247" s="5"/>
      <c r="T247" s="5"/>
      <c r="U247" s="5"/>
      <c r="V247" s="5"/>
    </row>
    <row r="248" spans="19:22" x14ac:dyDescent="0.35">
      <c r="S248" s="5"/>
      <c r="T248" s="5"/>
      <c r="U248" s="5"/>
      <c r="V248" s="5"/>
    </row>
    <row r="249" spans="19:22" x14ac:dyDescent="0.35">
      <c r="S249" s="5"/>
      <c r="T249" s="5"/>
      <c r="U249" s="5"/>
      <c r="V249" s="5"/>
    </row>
    <row r="250" spans="19:22" x14ac:dyDescent="0.35">
      <c r="S250" s="5"/>
      <c r="T250" s="5"/>
      <c r="U250" s="5"/>
      <c r="V250" s="5"/>
    </row>
    <row r="251" spans="19:22" x14ac:dyDescent="0.35">
      <c r="S251" s="5"/>
      <c r="T251" s="5"/>
      <c r="U251" s="5"/>
      <c r="V251" s="5"/>
    </row>
    <row r="252" spans="19:22" x14ac:dyDescent="0.35">
      <c r="S252" s="5"/>
      <c r="T252" s="5"/>
      <c r="U252" s="5"/>
      <c r="V252" s="5"/>
    </row>
    <row r="253" spans="19:22" x14ac:dyDescent="0.35">
      <c r="S253" s="5"/>
      <c r="T253" s="5"/>
      <c r="U253" s="5"/>
      <c r="V253" s="5"/>
    </row>
    <row r="254" spans="19:22" x14ac:dyDescent="0.35">
      <c r="S254" s="5"/>
      <c r="T254" s="5"/>
      <c r="U254" s="5"/>
      <c r="V254" s="5"/>
    </row>
    <row r="255" spans="19:22" x14ac:dyDescent="0.35">
      <c r="S255" s="5"/>
      <c r="T255" s="5"/>
      <c r="U255" s="5"/>
      <c r="V255" s="5"/>
    </row>
    <row r="256" spans="19:22" x14ac:dyDescent="0.35">
      <c r="S256" s="5"/>
      <c r="T256" s="5"/>
      <c r="U256" s="5"/>
      <c r="V256" s="5"/>
    </row>
    <row r="257" spans="19:22" x14ac:dyDescent="0.35">
      <c r="S257" s="5"/>
      <c r="T257" s="5"/>
      <c r="U257" s="5"/>
      <c r="V257" s="5"/>
    </row>
    <row r="258" spans="19:22" x14ac:dyDescent="0.35">
      <c r="S258" s="5"/>
      <c r="T258" s="5"/>
      <c r="U258" s="5"/>
      <c r="V258" s="5"/>
    </row>
    <row r="259" spans="19:22" x14ac:dyDescent="0.35">
      <c r="S259" s="5"/>
      <c r="T259" s="5"/>
      <c r="U259" s="5"/>
      <c r="V259" s="5"/>
    </row>
    <row r="260" spans="19:22" x14ac:dyDescent="0.35">
      <c r="S260" s="5"/>
      <c r="T260" s="5"/>
      <c r="U260" s="5"/>
      <c r="V260" s="5"/>
    </row>
    <row r="261" spans="19:22" x14ac:dyDescent="0.35">
      <c r="S261" s="5"/>
      <c r="T261" s="5"/>
      <c r="U261" s="5"/>
      <c r="V261" s="5"/>
    </row>
    <row r="262" spans="19:22" x14ac:dyDescent="0.35">
      <c r="S262" s="5"/>
      <c r="T262" s="5"/>
      <c r="U262" s="5"/>
      <c r="V262" s="5"/>
    </row>
    <row r="263" spans="19:22" x14ac:dyDescent="0.35">
      <c r="S263" s="5"/>
      <c r="T263" s="5"/>
      <c r="U263" s="5"/>
      <c r="V263" s="5"/>
    </row>
    <row r="264" spans="19:22" x14ac:dyDescent="0.35">
      <c r="S264" s="5"/>
      <c r="T264" s="5"/>
      <c r="U264" s="5"/>
      <c r="V264" s="5"/>
    </row>
    <row r="265" spans="19:22" x14ac:dyDescent="0.35">
      <c r="S265" s="5"/>
      <c r="T265" s="5"/>
      <c r="U265" s="5"/>
      <c r="V265" s="5"/>
    </row>
    <row r="266" spans="19:22" x14ac:dyDescent="0.35">
      <c r="S266" s="5"/>
      <c r="T266" s="5"/>
      <c r="U266" s="5"/>
      <c r="V266" s="5"/>
    </row>
    <row r="267" spans="19:22" x14ac:dyDescent="0.35">
      <c r="S267" s="5"/>
      <c r="T267" s="5"/>
      <c r="U267" s="5"/>
      <c r="V267" s="5"/>
    </row>
    <row r="268" spans="19:22" x14ac:dyDescent="0.35">
      <c r="S268" s="5"/>
      <c r="T268" s="5"/>
      <c r="U268" s="5"/>
      <c r="V268" s="5"/>
    </row>
    <row r="269" spans="19:22" x14ac:dyDescent="0.35">
      <c r="S269" s="5"/>
      <c r="T269" s="5"/>
      <c r="U269" s="5"/>
      <c r="V269" s="5"/>
    </row>
    <row r="270" spans="19:22" x14ac:dyDescent="0.35">
      <c r="S270" s="5"/>
      <c r="T270" s="5"/>
      <c r="U270" s="5"/>
      <c r="V270" s="5"/>
    </row>
    <row r="271" spans="19:22" x14ac:dyDescent="0.35">
      <c r="S271" s="5"/>
      <c r="T271" s="5"/>
      <c r="U271" s="5"/>
      <c r="V271" s="5"/>
    </row>
    <row r="272" spans="19:22" x14ac:dyDescent="0.35">
      <c r="S272" s="5"/>
      <c r="T272" s="5"/>
      <c r="U272" s="5"/>
      <c r="V272" s="5"/>
    </row>
    <row r="273" spans="19:22" x14ac:dyDescent="0.35">
      <c r="S273" s="5"/>
      <c r="T273" s="5"/>
      <c r="U273" s="5"/>
      <c r="V273" s="5"/>
    </row>
    <row r="274" spans="19:22" x14ac:dyDescent="0.35">
      <c r="S274" s="5"/>
      <c r="T274" s="5"/>
      <c r="U274" s="5"/>
      <c r="V274" s="5"/>
    </row>
    <row r="275" spans="19:22" x14ac:dyDescent="0.35">
      <c r="S275" s="5"/>
      <c r="T275" s="5"/>
      <c r="U275" s="5"/>
      <c r="V275" s="5"/>
    </row>
    <row r="276" spans="19:22" x14ac:dyDescent="0.35">
      <c r="S276" s="5"/>
      <c r="T276" s="5"/>
      <c r="U276" s="5"/>
      <c r="V276" s="5"/>
    </row>
    <row r="277" spans="19:22" x14ac:dyDescent="0.35">
      <c r="S277" s="5"/>
      <c r="T277" s="5"/>
      <c r="U277" s="5"/>
      <c r="V277" s="5"/>
    </row>
    <row r="278" spans="19:22" x14ac:dyDescent="0.35">
      <c r="S278" s="5"/>
      <c r="T278" s="5"/>
      <c r="U278" s="5"/>
      <c r="V278" s="5"/>
    </row>
    <row r="279" spans="19:22" x14ac:dyDescent="0.35">
      <c r="S279" s="5"/>
      <c r="T279" s="5"/>
      <c r="U279" s="5"/>
      <c r="V279" s="5"/>
    </row>
    <row r="280" spans="19:22" x14ac:dyDescent="0.35">
      <c r="S280" s="5"/>
      <c r="T280" s="5"/>
      <c r="U280" s="5"/>
      <c r="V280" s="5"/>
    </row>
    <row r="281" spans="19:22" x14ac:dyDescent="0.35">
      <c r="S281" s="5"/>
      <c r="T281" s="5"/>
      <c r="U281" s="5"/>
      <c r="V281" s="5"/>
    </row>
    <row r="282" spans="19:22" x14ac:dyDescent="0.35">
      <c r="S282" s="5"/>
      <c r="T282" s="5"/>
      <c r="U282" s="5"/>
      <c r="V282" s="5"/>
    </row>
    <row r="283" spans="19:22" x14ac:dyDescent="0.35">
      <c r="S283" s="5"/>
      <c r="T283" s="5"/>
      <c r="U283" s="5"/>
      <c r="V283" s="5"/>
    </row>
    <row r="284" spans="19:22" x14ac:dyDescent="0.35">
      <c r="S284" s="5"/>
      <c r="T284" s="5"/>
      <c r="U284" s="5"/>
      <c r="V284" s="5"/>
    </row>
    <row r="285" spans="19:22" x14ac:dyDescent="0.35">
      <c r="S285" s="5"/>
      <c r="T285" s="5"/>
      <c r="U285" s="5"/>
      <c r="V285" s="5"/>
    </row>
    <row r="286" spans="19:22" x14ac:dyDescent="0.35">
      <c r="S286" s="5"/>
      <c r="T286" s="5"/>
      <c r="U286" s="5"/>
      <c r="V286" s="5"/>
    </row>
    <row r="287" spans="19:22" x14ac:dyDescent="0.35">
      <c r="S287" s="5"/>
      <c r="T287" s="5"/>
      <c r="U287" s="5"/>
      <c r="V287" s="5"/>
    </row>
    <row r="288" spans="19:22" x14ac:dyDescent="0.35">
      <c r="S288" s="5"/>
      <c r="T288" s="5"/>
      <c r="U288" s="5"/>
      <c r="V288" s="5"/>
    </row>
    <row r="289" spans="19:22" x14ac:dyDescent="0.35">
      <c r="S289" s="5"/>
      <c r="T289" s="5"/>
      <c r="U289" s="5"/>
      <c r="V289" s="5"/>
    </row>
    <row r="290" spans="19:22" x14ac:dyDescent="0.35">
      <c r="S290" s="5"/>
      <c r="T290" s="5"/>
      <c r="U290" s="5"/>
      <c r="V290" s="5"/>
    </row>
    <row r="291" spans="19:22" x14ac:dyDescent="0.35">
      <c r="S291" s="5"/>
      <c r="T291" s="5"/>
      <c r="U291" s="5"/>
      <c r="V291" s="5"/>
    </row>
    <row r="292" spans="19:22" x14ac:dyDescent="0.35">
      <c r="S292" s="5"/>
      <c r="T292" s="5"/>
      <c r="U292" s="5"/>
      <c r="V292" s="5"/>
    </row>
    <row r="293" spans="19:22" x14ac:dyDescent="0.35">
      <c r="S293" s="5"/>
      <c r="T293" s="5"/>
      <c r="U293" s="5"/>
      <c r="V293" s="5"/>
    </row>
    <row r="294" spans="19:22" x14ac:dyDescent="0.35">
      <c r="S294" s="5"/>
      <c r="T294" s="5"/>
      <c r="U294" s="5"/>
      <c r="V294" s="5"/>
    </row>
    <row r="295" spans="19:22" x14ac:dyDescent="0.35">
      <c r="S295" s="5"/>
      <c r="T295" s="5"/>
      <c r="U295" s="5"/>
      <c r="V295" s="5"/>
    </row>
    <row r="296" spans="19:22" x14ac:dyDescent="0.35">
      <c r="S296" s="5"/>
      <c r="T296" s="5"/>
      <c r="U296" s="5"/>
      <c r="V296" s="5"/>
    </row>
    <row r="297" spans="19:22" x14ac:dyDescent="0.35">
      <c r="S297" s="5"/>
      <c r="T297" s="5"/>
      <c r="U297" s="5"/>
      <c r="V297" s="5"/>
    </row>
    <row r="298" spans="19:22" x14ac:dyDescent="0.35">
      <c r="S298" s="5"/>
      <c r="T298" s="5"/>
      <c r="U298" s="5"/>
      <c r="V298" s="5"/>
    </row>
    <row r="299" spans="19:22" x14ac:dyDescent="0.35">
      <c r="S299" s="5"/>
      <c r="T299" s="5"/>
      <c r="U299" s="5"/>
      <c r="V299" s="5"/>
    </row>
    <row r="300" spans="19:22" x14ac:dyDescent="0.35">
      <c r="S300" s="5"/>
      <c r="T300" s="5"/>
      <c r="U300" s="5"/>
      <c r="V300" s="5"/>
    </row>
    <row r="301" spans="19:22" x14ac:dyDescent="0.35">
      <c r="S301" s="5"/>
      <c r="T301" s="5"/>
      <c r="U301" s="5"/>
      <c r="V301" s="5"/>
    </row>
    <row r="302" spans="19:22" x14ac:dyDescent="0.35">
      <c r="S302" s="5"/>
      <c r="T302" s="5"/>
      <c r="U302" s="5"/>
      <c r="V302" s="5"/>
    </row>
    <row r="303" spans="19:22" x14ac:dyDescent="0.35">
      <c r="S303" s="5"/>
      <c r="T303" s="5"/>
      <c r="U303" s="5"/>
      <c r="V303" s="5"/>
    </row>
    <row r="304" spans="19:22" x14ac:dyDescent="0.35">
      <c r="S304" s="5"/>
      <c r="T304" s="5"/>
      <c r="U304" s="5"/>
      <c r="V304" s="5"/>
    </row>
    <row r="305" spans="19:22" x14ac:dyDescent="0.35">
      <c r="S305" s="5"/>
      <c r="T305" s="5"/>
      <c r="U305" s="5"/>
      <c r="V305" s="5"/>
    </row>
    <row r="306" spans="19:22" x14ac:dyDescent="0.35">
      <c r="S306" s="5"/>
      <c r="T306" s="5"/>
      <c r="U306" s="5"/>
      <c r="V306" s="5"/>
    </row>
    <row r="307" spans="19:22" x14ac:dyDescent="0.35">
      <c r="S307" s="5"/>
      <c r="T307" s="5"/>
      <c r="U307" s="5"/>
      <c r="V307" s="5"/>
    </row>
    <row r="308" spans="19:22" x14ac:dyDescent="0.35">
      <c r="S308" s="5"/>
      <c r="T308" s="5"/>
      <c r="U308" s="5"/>
      <c r="V308" s="5"/>
    </row>
    <row r="309" spans="19:22" x14ac:dyDescent="0.35">
      <c r="S309" s="5"/>
      <c r="T309" s="5"/>
      <c r="U309" s="5"/>
      <c r="V309" s="5"/>
    </row>
    <row r="310" spans="19:22" x14ac:dyDescent="0.35">
      <c r="S310" s="5"/>
      <c r="T310" s="5"/>
      <c r="U310" s="5"/>
      <c r="V310" s="5"/>
    </row>
    <row r="311" spans="19:22" x14ac:dyDescent="0.35">
      <c r="S311" s="5"/>
      <c r="T311" s="5"/>
      <c r="U311" s="5"/>
      <c r="V311" s="5"/>
    </row>
    <row r="312" spans="19:22" x14ac:dyDescent="0.35">
      <c r="S312" s="5"/>
      <c r="T312" s="5"/>
      <c r="U312" s="5"/>
      <c r="V312" s="5"/>
    </row>
    <row r="313" spans="19:22" x14ac:dyDescent="0.35">
      <c r="S313" s="5"/>
      <c r="T313" s="5"/>
      <c r="U313" s="5"/>
      <c r="V313" s="5"/>
    </row>
    <row r="314" spans="19:22" x14ac:dyDescent="0.35">
      <c r="S314" s="5"/>
      <c r="T314" s="5"/>
      <c r="U314" s="5"/>
      <c r="V314" s="5"/>
    </row>
    <row r="315" spans="19:22" x14ac:dyDescent="0.35">
      <c r="S315" s="5"/>
      <c r="T315" s="5"/>
      <c r="U315" s="5"/>
      <c r="V315" s="5"/>
    </row>
    <row r="316" spans="19:22" x14ac:dyDescent="0.35">
      <c r="S316" s="5"/>
      <c r="T316" s="5"/>
      <c r="U316" s="5"/>
      <c r="V316" s="5"/>
    </row>
    <row r="317" spans="19:22" x14ac:dyDescent="0.35">
      <c r="S317" s="5"/>
      <c r="T317" s="5"/>
      <c r="U317" s="5"/>
      <c r="V317" s="5"/>
    </row>
    <row r="318" spans="19:22" x14ac:dyDescent="0.35">
      <c r="S318" s="5"/>
      <c r="T318" s="5"/>
      <c r="U318" s="5"/>
      <c r="V318" s="5"/>
    </row>
    <row r="319" spans="19:22" x14ac:dyDescent="0.35">
      <c r="S319" s="5"/>
      <c r="T319" s="5"/>
      <c r="U319" s="5"/>
      <c r="V319" s="5"/>
    </row>
    <row r="320" spans="19:22" x14ac:dyDescent="0.35">
      <c r="S320" s="5"/>
      <c r="T320" s="5"/>
      <c r="U320" s="5"/>
      <c r="V320" s="5"/>
    </row>
    <row r="321" spans="19:22" x14ac:dyDescent="0.35">
      <c r="S321" s="5"/>
      <c r="T321" s="5"/>
      <c r="U321" s="5"/>
      <c r="V321" s="5"/>
    </row>
    <row r="322" spans="19:22" x14ac:dyDescent="0.35">
      <c r="S322" s="5"/>
      <c r="T322" s="5"/>
      <c r="U322" s="5"/>
      <c r="V322" s="5"/>
    </row>
    <row r="323" spans="19:22" x14ac:dyDescent="0.35">
      <c r="S323" s="5"/>
      <c r="T323" s="5"/>
      <c r="U323" s="5"/>
      <c r="V323" s="5"/>
    </row>
    <row r="324" spans="19:22" x14ac:dyDescent="0.35">
      <c r="S324" s="5"/>
      <c r="T324" s="5"/>
      <c r="U324" s="5"/>
      <c r="V324" s="5"/>
    </row>
    <row r="325" spans="19:22" x14ac:dyDescent="0.35">
      <c r="S325" s="5"/>
      <c r="T325" s="5"/>
      <c r="U325" s="5"/>
      <c r="V325" s="5"/>
    </row>
    <row r="326" spans="19:22" x14ac:dyDescent="0.35">
      <c r="S326" s="5"/>
      <c r="T326" s="5"/>
      <c r="U326" s="5"/>
      <c r="V326" s="5"/>
    </row>
    <row r="327" spans="19:22" x14ac:dyDescent="0.35">
      <c r="S327" s="5"/>
      <c r="T327" s="5"/>
      <c r="U327" s="5"/>
      <c r="V327" s="5"/>
    </row>
    <row r="328" spans="19:22" x14ac:dyDescent="0.35">
      <c r="S328" s="5"/>
      <c r="T328" s="5"/>
      <c r="U328" s="5"/>
      <c r="V328" s="5"/>
    </row>
    <row r="329" spans="19:22" x14ac:dyDescent="0.35">
      <c r="S329" s="5"/>
      <c r="T329" s="5"/>
      <c r="U329" s="5"/>
      <c r="V329" s="5"/>
    </row>
    <row r="330" spans="19:22" x14ac:dyDescent="0.35">
      <c r="S330" s="5"/>
      <c r="T330" s="5"/>
      <c r="U330" s="5"/>
      <c r="V330" s="5"/>
    </row>
    <row r="331" spans="19:22" x14ac:dyDescent="0.35">
      <c r="S331" s="5"/>
      <c r="T331" s="5"/>
      <c r="U331" s="5"/>
      <c r="V331" s="5"/>
    </row>
    <row r="332" spans="19:22" x14ac:dyDescent="0.35">
      <c r="S332" s="5"/>
      <c r="T332" s="5"/>
      <c r="U332" s="5"/>
      <c r="V332" s="5"/>
    </row>
    <row r="333" spans="19:22" x14ac:dyDescent="0.35">
      <c r="S333" s="5"/>
      <c r="T333" s="5"/>
      <c r="U333" s="5"/>
      <c r="V333" s="5"/>
    </row>
    <row r="334" spans="19:22" x14ac:dyDescent="0.35">
      <c r="S334" s="5"/>
      <c r="T334" s="5"/>
      <c r="U334" s="5"/>
      <c r="V334" s="5"/>
    </row>
    <row r="335" spans="19:22" x14ac:dyDescent="0.35">
      <c r="S335" s="5"/>
      <c r="T335" s="5"/>
      <c r="U335" s="5"/>
      <c r="V335" s="5"/>
    </row>
    <row r="336" spans="19:22" x14ac:dyDescent="0.35">
      <c r="S336" s="5"/>
      <c r="T336" s="5"/>
      <c r="U336" s="5"/>
      <c r="V336" s="5"/>
    </row>
    <row r="337" spans="19:22" x14ac:dyDescent="0.35">
      <c r="S337" s="5"/>
      <c r="T337" s="5"/>
      <c r="U337" s="5"/>
      <c r="V337" s="5"/>
    </row>
    <row r="338" spans="19:22" x14ac:dyDescent="0.35">
      <c r="S338" s="5"/>
      <c r="T338" s="5"/>
      <c r="U338" s="5"/>
      <c r="V338" s="5"/>
    </row>
    <row r="339" spans="19:22" x14ac:dyDescent="0.35">
      <c r="S339" s="5"/>
      <c r="T339" s="5"/>
      <c r="U339" s="5"/>
      <c r="V339" s="5"/>
    </row>
    <row r="340" spans="19:22" x14ac:dyDescent="0.35">
      <c r="S340" s="5"/>
      <c r="T340" s="5"/>
      <c r="U340" s="5"/>
      <c r="V340" s="5"/>
    </row>
    <row r="341" spans="19:22" x14ac:dyDescent="0.35">
      <c r="S341" s="5"/>
      <c r="T341" s="5"/>
      <c r="U341" s="5"/>
      <c r="V341" s="5"/>
    </row>
    <row r="342" spans="19:22" x14ac:dyDescent="0.35">
      <c r="S342" s="5"/>
      <c r="T342" s="5"/>
      <c r="U342" s="5"/>
      <c r="V342" s="5"/>
    </row>
    <row r="343" spans="19:22" x14ac:dyDescent="0.35">
      <c r="S343" s="5"/>
      <c r="T343" s="5"/>
      <c r="U343" s="5"/>
      <c r="V343" s="5"/>
    </row>
    <row r="344" spans="19:22" x14ac:dyDescent="0.35">
      <c r="S344" s="5"/>
      <c r="T344" s="5"/>
      <c r="U344" s="5"/>
      <c r="V344" s="5"/>
    </row>
    <row r="345" spans="19:22" x14ac:dyDescent="0.35">
      <c r="S345" s="5"/>
      <c r="T345" s="5"/>
      <c r="U345" s="5"/>
      <c r="V345" s="5"/>
    </row>
    <row r="346" spans="19:22" x14ac:dyDescent="0.35">
      <c r="S346" s="5"/>
      <c r="T346" s="5"/>
      <c r="U346" s="5"/>
      <c r="V346" s="5"/>
    </row>
    <row r="347" spans="19:22" x14ac:dyDescent="0.35">
      <c r="S347" s="5"/>
      <c r="T347" s="5"/>
      <c r="U347" s="5"/>
      <c r="V347" s="5"/>
    </row>
    <row r="348" spans="19:22" x14ac:dyDescent="0.35">
      <c r="S348" s="5"/>
      <c r="T348" s="5"/>
      <c r="U348" s="5"/>
      <c r="V348" s="5"/>
    </row>
    <row r="349" spans="19:22" x14ac:dyDescent="0.35">
      <c r="S349" s="5"/>
      <c r="T349" s="5"/>
      <c r="U349" s="5"/>
      <c r="V349" s="5"/>
    </row>
    <row r="350" spans="19:22" x14ac:dyDescent="0.35">
      <c r="S350" s="5"/>
      <c r="T350" s="5"/>
      <c r="U350" s="5"/>
      <c r="V350" s="5"/>
    </row>
    <row r="351" spans="19:22" x14ac:dyDescent="0.35">
      <c r="S351" s="5"/>
      <c r="T351" s="5"/>
      <c r="U351" s="5"/>
      <c r="V351" s="5"/>
    </row>
    <row r="352" spans="19:22" x14ac:dyDescent="0.35">
      <c r="S352" s="5"/>
      <c r="T352" s="5"/>
      <c r="U352" s="5"/>
      <c r="V352" s="5"/>
    </row>
    <row r="353" spans="19:22" x14ac:dyDescent="0.35">
      <c r="S353" s="5"/>
      <c r="T353" s="5"/>
      <c r="U353" s="5"/>
      <c r="V353" s="5"/>
    </row>
    <row r="354" spans="19:22" x14ac:dyDescent="0.35">
      <c r="S354" s="5"/>
      <c r="T354" s="5"/>
      <c r="U354" s="5"/>
      <c r="V354" s="5"/>
    </row>
    <row r="355" spans="19:22" x14ac:dyDescent="0.35">
      <c r="S355" s="5"/>
      <c r="T355" s="5"/>
      <c r="U355" s="5"/>
      <c r="V355" s="5"/>
    </row>
    <row r="356" spans="19:22" x14ac:dyDescent="0.35">
      <c r="S356" s="5"/>
      <c r="T356" s="5"/>
      <c r="U356" s="5"/>
      <c r="V356" s="5"/>
    </row>
    <row r="357" spans="19:22" x14ac:dyDescent="0.35">
      <c r="S357" s="5"/>
      <c r="T357" s="5"/>
      <c r="U357" s="5"/>
      <c r="V357" s="5"/>
    </row>
    <row r="358" spans="19:22" x14ac:dyDescent="0.35">
      <c r="S358" s="5"/>
      <c r="T358" s="5"/>
      <c r="U358" s="5"/>
      <c r="V358" s="5"/>
    </row>
    <row r="359" spans="19:22" x14ac:dyDescent="0.35">
      <c r="S359" s="5"/>
      <c r="T359" s="5"/>
      <c r="U359" s="5"/>
      <c r="V359" s="5"/>
    </row>
    <row r="360" spans="19:22" x14ac:dyDescent="0.35">
      <c r="S360" s="5"/>
      <c r="T360" s="5"/>
      <c r="U360" s="5"/>
      <c r="V360" s="5"/>
    </row>
    <row r="361" spans="19:22" x14ac:dyDescent="0.35">
      <c r="S361" s="5"/>
      <c r="T361" s="5"/>
      <c r="U361" s="5"/>
      <c r="V361" s="5"/>
    </row>
    <row r="362" spans="19:22" x14ac:dyDescent="0.35">
      <c r="S362" s="5"/>
      <c r="T362" s="5"/>
      <c r="U362" s="5"/>
      <c r="V362" s="5"/>
    </row>
    <row r="363" spans="19:22" x14ac:dyDescent="0.35">
      <c r="S363" s="5"/>
      <c r="T363" s="5"/>
      <c r="U363" s="5"/>
      <c r="V363" s="5"/>
    </row>
    <row r="364" spans="19:22" x14ac:dyDescent="0.35">
      <c r="S364" s="5"/>
      <c r="T364" s="5"/>
      <c r="U364" s="5"/>
      <c r="V364" s="5"/>
    </row>
    <row r="365" spans="19:22" x14ac:dyDescent="0.35">
      <c r="S365" s="5"/>
      <c r="T365" s="5"/>
      <c r="U365" s="5"/>
      <c r="V365" s="5"/>
    </row>
    <row r="366" spans="19:22" x14ac:dyDescent="0.35">
      <c r="S366" s="5"/>
      <c r="T366" s="5"/>
      <c r="U366" s="5"/>
      <c r="V366" s="5"/>
    </row>
    <row r="367" spans="19:22" x14ac:dyDescent="0.35">
      <c r="S367" s="5"/>
      <c r="T367" s="5"/>
      <c r="U367" s="5"/>
      <c r="V367" s="5"/>
    </row>
    <row r="368" spans="19:22" x14ac:dyDescent="0.35">
      <c r="S368" s="5"/>
      <c r="T368" s="5"/>
      <c r="U368" s="5"/>
      <c r="V368" s="5"/>
    </row>
    <row r="369" spans="19:22" x14ac:dyDescent="0.35">
      <c r="S369" s="5"/>
      <c r="T369" s="5"/>
      <c r="U369" s="5"/>
      <c r="V369" s="5"/>
    </row>
    <row r="370" spans="19:22" x14ac:dyDescent="0.35">
      <c r="S370" s="5"/>
      <c r="T370" s="5"/>
      <c r="U370" s="5"/>
      <c r="V370" s="5"/>
    </row>
    <row r="371" spans="19:22" x14ac:dyDescent="0.35">
      <c r="S371" s="5"/>
      <c r="T371" s="5"/>
      <c r="U371" s="5"/>
      <c r="V371" s="5"/>
    </row>
    <row r="372" spans="19:22" x14ac:dyDescent="0.35">
      <c r="S372" s="5"/>
      <c r="T372" s="5"/>
      <c r="U372" s="5"/>
      <c r="V372" s="5"/>
    </row>
    <row r="373" spans="19:22" x14ac:dyDescent="0.35">
      <c r="S373" s="5"/>
      <c r="T373" s="5"/>
      <c r="U373" s="5"/>
      <c r="V373" s="5"/>
    </row>
    <row r="374" spans="19:22" x14ac:dyDescent="0.35">
      <c r="S374" s="5"/>
      <c r="T374" s="5"/>
      <c r="U374" s="5"/>
      <c r="V374" s="5"/>
    </row>
    <row r="375" spans="19:22" x14ac:dyDescent="0.35">
      <c r="S375" s="5"/>
      <c r="T375" s="5"/>
      <c r="U375" s="5"/>
      <c r="V375" s="5"/>
    </row>
    <row r="376" spans="19:22" x14ac:dyDescent="0.35">
      <c r="S376" s="5"/>
      <c r="T376" s="5"/>
      <c r="U376" s="5"/>
      <c r="V376" s="5"/>
    </row>
    <row r="377" spans="19:22" x14ac:dyDescent="0.35">
      <c r="S377" s="5"/>
      <c r="T377" s="5"/>
      <c r="U377" s="5"/>
      <c r="V377" s="5"/>
    </row>
    <row r="378" spans="19:22" x14ac:dyDescent="0.35">
      <c r="S378" s="5"/>
      <c r="T378" s="5"/>
      <c r="U378" s="5"/>
      <c r="V378" s="5"/>
    </row>
    <row r="379" spans="19:22" x14ac:dyDescent="0.35">
      <c r="S379" s="5"/>
      <c r="T379" s="5"/>
      <c r="U379" s="5"/>
      <c r="V379" s="5"/>
    </row>
    <row r="380" spans="19:22" x14ac:dyDescent="0.35">
      <c r="S380" s="5"/>
      <c r="T380" s="5"/>
      <c r="U380" s="5"/>
      <c r="V380" s="5"/>
    </row>
    <row r="381" spans="19:22" x14ac:dyDescent="0.35">
      <c r="S381" s="5"/>
      <c r="T381" s="5"/>
      <c r="U381" s="5"/>
      <c r="V381" s="5"/>
    </row>
    <row r="382" spans="19:22" x14ac:dyDescent="0.35">
      <c r="S382" s="5"/>
      <c r="T382" s="5"/>
      <c r="U382" s="5"/>
      <c r="V382" s="5"/>
    </row>
    <row r="383" spans="19:22" x14ac:dyDescent="0.35">
      <c r="S383" s="5"/>
      <c r="T383" s="5"/>
      <c r="U383" s="5"/>
      <c r="V383" s="5"/>
    </row>
    <row r="384" spans="19:22" x14ac:dyDescent="0.35">
      <c r="S384" s="5"/>
      <c r="T384" s="5"/>
      <c r="U384" s="5"/>
      <c r="V384" s="5"/>
    </row>
    <row r="385" spans="19:22" x14ac:dyDescent="0.35">
      <c r="S385" s="5"/>
      <c r="T385" s="5"/>
      <c r="U385" s="5"/>
      <c r="V385" s="5"/>
    </row>
    <row r="386" spans="19:22" x14ac:dyDescent="0.35">
      <c r="S386" s="5"/>
      <c r="T386" s="5"/>
      <c r="U386" s="5"/>
      <c r="V386" s="5"/>
    </row>
    <row r="387" spans="19:22" x14ac:dyDescent="0.35">
      <c r="S387" s="5"/>
      <c r="T387" s="5"/>
      <c r="U387" s="5"/>
      <c r="V387" s="5"/>
    </row>
    <row r="388" spans="19:22" x14ac:dyDescent="0.35">
      <c r="S388" s="5"/>
      <c r="T388" s="5"/>
      <c r="U388" s="5"/>
      <c r="V388" s="5"/>
    </row>
    <row r="389" spans="19:22" x14ac:dyDescent="0.35">
      <c r="S389" s="5"/>
      <c r="T389" s="5"/>
      <c r="U389" s="5"/>
      <c r="V389" s="5"/>
    </row>
    <row r="390" spans="19:22" x14ac:dyDescent="0.35">
      <c r="S390" s="5"/>
      <c r="T390" s="5"/>
      <c r="U390" s="5"/>
      <c r="V390" s="5"/>
    </row>
    <row r="391" spans="19:22" x14ac:dyDescent="0.35">
      <c r="S391" s="5"/>
      <c r="T391" s="5"/>
      <c r="U391" s="5"/>
      <c r="V391" s="5"/>
    </row>
    <row r="392" spans="19:22" x14ac:dyDescent="0.35">
      <c r="S392" s="5"/>
      <c r="T392" s="5"/>
      <c r="U392" s="5"/>
      <c r="V392" s="5"/>
    </row>
    <row r="393" spans="19:22" x14ac:dyDescent="0.35">
      <c r="S393" s="5"/>
      <c r="T393" s="5"/>
      <c r="U393" s="5"/>
      <c r="V393" s="5"/>
    </row>
    <row r="394" spans="19:22" x14ac:dyDescent="0.35">
      <c r="S394" s="5"/>
      <c r="T394" s="5"/>
      <c r="U394" s="5"/>
      <c r="V394" s="5"/>
    </row>
    <row r="395" spans="19:22" x14ac:dyDescent="0.35">
      <c r="S395" s="5"/>
      <c r="T395" s="5"/>
      <c r="U395" s="5"/>
      <c r="V395" s="5"/>
    </row>
    <row r="396" spans="19:22" x14ac:dyDescent="0.35">
      <c r="S396" s="5"/>
      <c r="T396" s="5"/>
      <c r="U396" s="5"/>
      <c r="V396" s="5"/>
    </row>
    <row r="397" spans="19:22" x14ac:dyDescent="0.35">
      <c r="S397" s="5"/>
      <c r="T397" s="5"/>
      <c r="U397" s="5"/>
      <c r="V397" s="5"/>
    </row>
    <row r="398" spans="19:22" x14ac:dyDescent="0.35">
      <c r="S398" s="5"/>
      <c r="T398" s="5"/>
      <c r="U398" s="5"/>
      <c r="V398" s="5"/>
    </row>
    <row r="399" spans="19:22" x14ac:dyDescent="0.35">
      <c r="S399" s="5"/>
      <c r="T399" s="5"/>
      <c r="U399" s="5"/>
      <c r="V399" s="5"/>
    </row>
    <row r="400" spans="19:22" x14ac:dyDescent="0.35">
      <c r="S400" s="5"/>
      <c r="T400" s="5"/>
      <c r="U400" s="5"/>
      <c r="V400" s="5"/>
    </row>
    <row r="401" spans="19:22" x14ac:dyDescent="0.35">
      <c r="S401" s="5"/>
      <c r="T401" s="5"/>
      <c r="U401" s="5"/>
      <c r="V401" s="5"/>
    </row>
    <row r="402" spans="19:22" x14ac:dyDescent="0.35">
      <c r="S402" s="5"/>
      <c r="T402" s="5"/>
      <c r="U402" s="5"/>
      <c r="V402" s="5"/>
    </row>
    <row r="403" spans="19:22" x14ac:dyDescent="0.35">
      <c r="S403" s="5"/>
      <c r="T403" s="5"/>
      <c r="U403" s="5"/>
      <c r="V403" s="5"/>
    </row>
    <row r="404" spans="19:22" x14ac:dyDescent="0.35">
      <c r="S404" s="5"/>
      <c r="T404" s="5"/>
      <c r="U404" s="5"/>
      <c r="V404" s="5"/>
    </row>
    <row r="405" spans="19:22" x14ac:dyDescent="0.35">
      <c r="S405" s="5"/>
      <c r="T405" s="5"/>
      <c r="U405" s="5"/>
      <c r="V405" s="5"/>
    </row>
    <row r="406" spans="19:22" x14ac:dyDescent="0.35">
      <c r="S406" s="5"/>
      <c r="T406" s="5"/>
      <c r="U406" s="5"/>
      <c r="V406" s="5"/>
    </row>
    <row r="407" spans="19:22" x14ac:dyDescent="0.35">
      <c r="S407" s="5"/>
      <c r="T407" s="5"/>
      <c r="U407" s="5"/>
      <c r="V407" s="5"/>
    </row>
    <row r="408" spans="19:22" x14ac:dyDescent="0.35">
      <c r="S408" s="5"/>
      <c r="T408" s="5"/>
      <c r="U408" s="5"/>
      <c r="V408" s="5"/>
    </row>
    <row r="409" spans="19:22" x14ac:dyDescent="0.35">
      <c r="S409" s="5"/>
      <c r="T409" s="5"/>
      <c r="U409" s="5"/>
      <c r="V409" s="5"/>
    </row>
    <row r="410" spans="19:22" x14ac:dyDescent="0.35">
      <c r="S410" s="5"/>
      <c r="T410" s="5"/>
      <c r="U410" s="5"/>
      <c r="V410" s="5"/>
    </row>
    <row r="411" spans="19:22" x14ac:dyDescent="0.35">
      <c r="S411" s="5"/>
      <c r="T411" s="5"/>
      <c r="U411" s="5"/>
      <c r="V411" s="5"/>
    </row>
    <row r="412" spans="19:22" x14ac:dyDescent="0.35">
      <c r="S412" s="5"/>
      <c r="T412" s="5"/>
      <c r="U412" s="5"/>
      <c r="V412" s="5"/>
    </row>
    <row r="413" spans="19:22" x14ac:dyDescent="0.35">
      <c r="S413" s="5"/>
      <c r="T413" s="5"/>
      <c r="U413" s="5"/>
      <c r="V413" s="5"/>
    </row>
    <row r="414" spans="19:22" x14ac:dyDescent="0.35">
      <c r="S414" s="5"/>
      <c r="T414" s="5"/>
      <c r="U414" s="5"/>
      <c r="V414" s="5"/>
    </row>
    <row r="415" spans="19:22" x14ac:dyDescent="0.35">
      <c r="S415" s="5"/>
      <c r="T415" s="5"/>
      <c r="U415" s="5"/>
      <c r="V415" s="5"/>
    </row>
    <row r="416" spans="19:22" x14ac:dyDescent="0.35">
      <c r="S416" s="5"/>
      <c r="T416" s="5"/>
      <c r="U416" s="5"/>
      <c r="V416" s="5"/>
    </row>
    <row r="417" spans="19:22" x14ac:dyDescent="0.35">
      <c r="S417" s="5"/>
      <c r="T417" s="5"/>
      <c r="U417" s="5"/>
      <c r="V417" s="5"/>
    </row>
    <row r="418" spans="19:22" x14ac:dyDescent="0.35">
      <c r="S418" s="5"/>
      <c r="T418" s="5"/>
      <c r="U418" s="5"/>
      <c r="V418" s="5"/>
    </row>
    <row r="419" spans="19:22" x14ac:dyDescent="0.35">
      <c r="S419" s="5"/>
      <c r="T419" s="5"/>
      <c r="U419" s="5"/>
      <c r="V419" s="5"/>
    </row>
    <row r="420" spans="19:22" x14ac:dyDescent="0.35">
      <c r="S420" s="5"/>
      <c r="T420" s="5"/>
      <c r="U420" s="5"/>
      <c r="V420" s="5"/>
    </row>
    <row r="421" spans="19:22" x14ac:dyDescent="0.35">
      <c r="S421" s="5"/>
      <c r="T421" s="5"/>
      <c r="U421" s="5"/>
      <c r="V421" s="5"/>
    </row>
    <row r="422" spans="19:22" x14ac:dyDescent="0.35">
      <c r="S422" s="5"/>
      <c r="T422" s="5"/>
      <c r="U422" s="5"/>
      <c r="V422" s="5"/>
    </row>
    <row r="423" spans="19:22" x14ac:dyDescent="0.35">
      <c r="S423" s="5"/>
      <c r="T423" s="5"/>
      <c r="U423" s="5"/>
      <c r="V423" s="5"/>
    </row>
    <row r="424" spans="19:22" x14ac:dyDescent="0.35">
      <c r="S424" s="5"/>
      <c r="T424" s="5"/>
      <c r="U424" s="5"/>
      <c r="V424" s="5"/>
    </row>
    <row r="425" spans="19:22" x14ac:dyDescent="0.35">
      <c r="S425" s="5"/>
      <c r="T425" s="5"/>
      <c r="U425" s="5"/>
      <c r="V425" s="5"/>
    </row>
    <row r="426" spans="19:22" x14ac:dyDescent="0.35">
      <c r="S426" s="5"/>
      <c r="T426" s="5"/>
      <c r="U426" s="5"/>
      <c r="V426" s="5"/>
    </row>
    <row r="427" spans="19:22" x14ac:dyDescent="0.35">
      <c r="S427" s="5"/>
      <c r="T427" s="5"/>
      <c r="U427" s="5"/>
      <c r="V427" s="5"/>
    </row>
    <row r="428" spans="19:22" x14ac:dyDescent="0.35">
      <c r="S428" s="5"/>
      <c r="T428" s="5"/>
      <c r="U428" s="5"/>
      <c r="V428" s="5"/>
    </row>
    <row r="429" spans="19:22" x14ac:dyDescent="0.35">
      <c r="S429" s="5"/>
      <c r="T429" s="5"/>
      <c r="U429" s="5"/>
      <c r="V429" s="5"/>
    </row>
    <row r="430" spans="19:22" x14ac:dyDescent="0.35">
      <c r="S430" s="5"/>
      <c r="T430" s="5"/>
      <c r="U430" s="5"/>
      <c r="V430" s="5"/>
    </row>
    <row r="431" spans="19:22" x14ac:dyDescent="0.35">
      <c r="S431" s="5"/>
      <c r="T431" s="5"/>
      <c r="U431" s="5"/>
      <c r="V431" s="5"/>
    </row>
    <row r="432" spans="19:22" x14ac:dyDescent="0.35">
      <c r="S432" s="5"/>
      <c r="T432" s="5"/>
      <c r="U432" s="5"/>
      <c r="V432" s="5"/>
    </row>
    <row r="433" spans="19:22" x14ac:dyDescent="0.35">
      <c r="S433" s="5"/>
      <c r="T433" s="5"/>
      <c r="U433" s="5"/>
      <c r="V433" s="5"/>
    </row>
    <row r="434" spans="19:22" x14ac:dyDescent="0.35">
      <c r="S434" s="5"/>
      <c r="T434" s="5"/>
      <c r="U434" s="5"/>
      <c r="V434" s="5"/>
    </row>
    <row r="435" spans="19:22" x14ac:dyDescent="0.35">
      <c r="S435" s="5"/>
      <c r="T435" s="5"/>
      <c r="U435" s="5"/>
      <c r="V435" s="5"/>
    </row>
    <row r="436" spans="19:22" x14ac:dyDescent="0.35">
      <c r="S436" s="5"/>
      <c r="T436" s="5"/>
      <c r="U436" s="5"/>
      <c r="V436" s="5"/>
    </row>
    <row r="437" spans="19:22" x14ac:dyDescent="0.35">
      <c r="S437" s="5"/>
      <c r="T437" s="5"/>
      <c r="U437" s="5"/>
      <c r="V437" s="5"/>
    </row>
    <row r="438" spans="19:22" x14ac:dyDescent="0.35">
      <c r="S438" s="5"/>
      <c r="T438" s="5"/>
      <c r="U438" s="5"/>
      <c r="V438" s="5"/>
    </row>
    <row r="439" spans="19:22" x14ac:dyDescent="0.35">
      <c r="S439" s="5"/>
      <c r="T439" s="5"/>
      <c r="U439" s="5"/>
      <c r="V439" s="5"/>
    </row>
    <row r="440" spans="19:22" x14ac:dyDescent="0.35">
      <c r="S440" s="5"/>
      <c r="T440" s="5"/>
      <c r="U440" s="5"/>
      <c r="V440" s="5"/>
    </row>
    <row r="441" spans="19:22" x14ac:dyDescent="0.35">
      <c r="S441" s="5"/>
      <c r="T441" s="5"/>
      <c r="U441" s="5"/>
      <c r="V441" s="5"/>
    </row>
    <row r="442" spans="19:22" x14ac:dyDescent="0.35">
      <c r="S442" s="5"/>
      <c r="T442" s="5"/>
      <c r="U442" s="5"/>
      <c r="V442" s="5"/>
    </row>
    <row r="443" spans="19:22" x14ac:dyDescent="0.35">
      <c r="S443" s="5"/>
      <c r="T443" s="5"/>
      <c r="U443" s="5"/>
      <c r="V443" s="5"/>
    </row>
    <row r="444" spans="19:22" x14ac:dyDescent="0.35">
      <c r="S444" s="5"/>
      <c r="T444" s="5"/>
      <c r="U444" s="5"/>
      <c r="V444" s="5"/>
    </row>
    <row r="445" spans="19:22" x14ac:dyDescent="0.35">
      <c r="S445" s="5"/>
      <c r="T445" s="5"/>
      <c r="U445" s="5"/>
      <c r="V445" s="5"/>
    </row>
    <row r="446" spans="19:22" x14ac:dyDescent="0.35">
      <c r="S446" s="5"/>
      <c r="T446" s="5"/>
      <c r="U446" s="5"/>
      <c r="V446" s="5"/>
    </row>
    <row r="447" spans="19:22" x14ac:dyDescent="0.35">
      <c r="S447" s="5"/>
      <c r="T447" s="5"/>
      <c r="U447" s="5"/>
      <c r="V447" s="5"/>
    </row>
    <row r="448" spans="19:22" x14ac:dyDescent="0.35">
      <c r="S448" s="5"/>
      <c r="T448" s="5"/>
      <c r="U448" s="5"/>
      <c r="V448" s="5"/>
    </row>
    <row r="449" spans="19:22" x14ac:dyDescent="0.35">
      <c r="S449" s="5"/>
      <c r="T449" s="5"/>
      <c r="U449" s="5"/>
      <c r="V449" s="5"/>
    </row>
    <row r="450" spans="19:22" x14ac:dyDescent="0.35">
      <c r="S450" s="5"/>
      <c r="T450" s="5"/>
      <c r="U450" s="5"/>
      <c r="V450" s="5"/>
    </row>
    <row r="451" spans="19:22" x14ac:dyDescent="0.35">
      <c r="S451" s="5"/>
      <c r="T451" s="5"/>
      <c r="U451" s="5"/>
      <c r="V451" s="5"/>
    </row>
    <row r="452" spans="19:22" x14ac:dyDescent="0.35">
      <c r="S452" s="5"/>
      <c r="T452" s="5"/>
      <c r="U452" s="5"/>
      <c r="V452" s="5"/>
    </row>
    <row r="453" spans="19:22" x14ac:dyDescent="0.35">
      <c r="S453" s="5"/>
      <c r="T453" s="5"/>
      <c r="U453" s="5"/>
      <c r="V453" s="5"/>
    </row>
    <row r="454" spans="19:22" x14ac:dyDescent="0.35">
      <c r="S454" s="5"/>
      <c r="T454" s="5"/>
      <c r="U454" s="5"/>
      <c r="V454" s="5"/>
    </row>
    <row r="455" spans="19:22" x14ac:dyDescent="0.35">
      <c r="S455" s="5"/>
      <c r="T455" s="5"/>
      <c r="U455" s="5"/>
      <c r="V455" s="5"/>
    </row>
    <row r="456" spans="19:22" x14ac:dyDescent="0.35">
      <c r="S456" s="5"/>
      <c r="T456" s="5"/>
      <c r="U456" s="5"/>
      <c r="V456" s="5"/>
    </row>
    <row r="457" spans="19:22" x14ac:dyDescent="0.35">
      <c r="S457" s="5"/>
      <c r="T457" s="5"/>
      <c r="U457" s="5"/>
      <c r="V457" s="5"/>
    </row>
    <row r="458" spans="19:22" x14ac:dyDescent="0.35">
      <c r="S458" s="5"/>
      <c r="T458" s="5"/>
      <c r="U458" s="5"/>
      <c r="V458" s="5"/>
    </row>
    <row r="459" spans="19:22" x14ac:dyDescent="0.35">
      <c r="S459" s="5"/>
      <c r="T459" s="5"/>
      <c r="U459" s="5"/>
      <c r="V459" s="5"/>
    </row>
    <row r="460" spans="19:22" x14ac:dyDescent="0.35">
      <c r="S460" s="5"/>
      <c r="T460" s="5"/>
      <c r="U460" s="5"/>
      <c r="V460" s="5"/>
    </row>
    <row r="461" spans="19:22" x14ac:dyDescent="0.35">
      <c r="S461" s="5"/>
      <c r="T461" s="5"/>
      <c r="U461" s="5"/>
      <c r="V461" s="5"/>
    </row>
    <row r="462" spans="19:22" x14ac:dyDescent="0.35">
      <c r="S462" s="5"/>
      <c r="T462" s="5"/>
      <c r="U462" s="5"/>
      <c r="V462" s="5"/>
    </row>
    <row r="463" spans="19:22" x14ac:dyDescent="0.35">
      <c r="S463" s="5"/>
      <c r="T463" s="5"/>
      <c r="U463" s="5"/>
      <c r="V463" s="5"/>
    </row>
    <row r="464" spans="19:22" x14ac:dyDescent="0.35">
      <c r="S464" s="5"/>
      <c r="T464" s="5"/>
      <c r="U464" s="5"/>
      <c r="V464" s="5"/>
    </row>
    <row r="465" spans="19:22" x14ac:dyDescent="0.35">
      <c r="S465" s="5"/>
      <c r="T465" s="5"/>
      <c r="U465" s="5"/>
      <c r="V465" s="5"/>
    </row>
    <row r="466" spans="19:22" x14ac:dyDescent="0.35">
      <c r="S466" s="5"/>
      <c r="T466" s="5"/>
      <c r="U466" s="5"/>
      <c r="V466" s="5"/>
    </row>
    <row r="467" spans="19:22" x14ac:dyDescent="0.35">
      <c r="S467" s="5"/>
      <c r="T467" s="5"/>
      <c r="U467" s="5"/>
      <c r="V467" s="5"/>
    </row>
    <row r="468" spans="19:22" x14ac:dyDescent="0.35">
      <c r="S468" s="5"/>
      <c r="T468" s="5"/>
      <c r="U468" s="5"/>
      <c r="V468" s="5"/>
    </row>
    <row r="469" spans="19:22" x14ac:dyDescent="0.35">
      <c r="S469" s="5"/>
      <c r="T469" s="5"/>
      <c r="U469" s="5"/>
      <c r="V469" s="5"/>
    </row>
    <row r="470" spans="19:22" x14ac:dyDescent="0.35">
      <c r="S470" s="5"/>
      <c r="T470" s="5"/>
      <c r="U470" s="5"/>
      <c r="V470" s="5"/>
    </row>
    <row r="471" spans="19:22" x14ac:dyDescent="0.35">
      <c r="S471" s="5"/>
      <c r="T471" s="5"/>
      <c r="U471" s="5"/>
      <c r="V471" s="5"/>
    </row>
    <row r="472" spans="19:22" x14ac:dyDescent="0.35">
      <c r="S472" s="5"/>
      <c r="T472" s="5"/>
      <c r="U472" s="5"/>
      <c r="V472" s="5"/>
    </row>
    <row r="473" spans="19:22" x14ac:dyDescent="0.35">
      <c r="S473" s="5"/>
      <c r="T473" s="5"/>
      <c r="U473" s="5"/>
      <c r="V473" s="5"/>
    </row>
    <row r="474" spans="19:22" x14ac:dyDescent="0.35">
      <c r="S474" s="5"/>
      <c r="T474" s="5"/>
      <c r="U474" s="5"/>
      <c r="V474" s="5"/>
    </row>
    <row r="475" spans="19:22" x14ac:dyDescent="0.35">
      <c r="S475" s="5"/>
      <c r="T475" s="5"/>
      <c r="U475" s="5"/>
      <c r="V475" s="5"/>
    </row>
    <row r="476" spans="19:22" x14ac:dyDescent="0.35">
      <c r="S476" s="5"/>
      <c r="T476" s="5"/>
      <c r="U476" s="5"/>
      <c r="V476" s="5"/>
    </row>
    <row r="477" spans="19:22" x14ac:dyDescent="0.35">
      <c r="S477" s="5"/>
      <c r="T477" s="5"/>
      <c r="U477" s="5"/>
      <c r="V477" s="5"/>
    </row>
    <row r="478" spans="19:22" x14ac:dyDescent="0.35">
      <c r="S478" s="5"/>
      <c r="T478" s="5"/>
      <c r="U478" s="5"/>
      <c r="V478" s="5"/>
    </row>
    <row r="479" spans="19:22" x14ac:dyDescent="0.35">
      <c r="S479" s="5"/>
      <c r="T479" s="5"/>
      <c r="U479" s="5"/>
      <c r="V479" s="5"/>
    </row>
    <row r="480" spans="19:22" x14ac:dyDescent="0.35">
      <c r="S480" s="5"/>
      <c r="T480" s="5"/>
      <c r="U480" s="5"/>
      <c r="V480" s="5"/>
    </row>
    <row r="481" spans="19:22" x14ac:dyDescent="0.35">
      <c r="S481" s="5"/>
      <c r="T481" s="5"/>
      <c r="U481" s="5"/>
      <c r="V481" s="5"/>
    </row>
    <row r="482" spans="19:22" x14ac:dyDescent="0.35">
      <c r="S482" s="5"/>
      <c r="T482" s="5"/>
      <c r="U482" s="5"/>
      <c r="V482" s="5"/>
    </row>
    <row r="483" spans="19:22" x14ac:dyDescent="0.35">
      <c r="S483" s="5"/>
      <c r="T483" s="5"/>
      <c r="U483" s="5"/>
      <c r="V483" s="5"/>
    </row>
    <row r="484" spans="19:22" x14ac:dyDescent="0.35">
      <c r="S484" s="5"/>
      <c r="T484" s="5"/>
      <c r="U484" s="5"/>
      <c r="V484" s="5"/>
    </row>
    <row r="485" spans="19:22" x14ac:dyDescent="0.35">
      <c r="S485" s="5"/>
      <c r="T485" s="5"/>
      <c r="U485" s="5"/>
      <c r="V485" s="5"/>
    </row>
    <row r="486" spans="19:22" x14ac:dyDescent="0.35">
      <c r="S486" s="5"/>
      <c r="T486" s="5"/>
      <c r="U486" s="5"/>
      <c r="V486" s="5"/>
    </row>
    <row r="487" spans="19:22" x14ac:dyDescent="0.35">
      <c r="S487" s="5"/>
      <c r="T487" s="5"/>
      <c r="U487" s="5"/>
      <c r="V487" s="5"/>
    </row>
    <row r="488" spans="19:22" x14ac:dyDescent="0.35">
      <c r="S488" s="5"/>
      <c r="T488" s="5"/>
      <c r="U488" s="5"/>
      <c r="V488" s="5"/>
    </row>
    <row r="489" spans="19:22" x14ac:dyDescent="0.35">
      <c r="S489" s="5"/>
      <c r="T489" s="5"/>
      <c r="U489" s="5"/>
      <c r="V489" s="5"/>
    </row>
    <row r="490" spans="19:22" x14ac:dyDescent="0.35">
      <c r="S490" s="5"/>
      <c r="T490" s="5"/>
      <c r="U490" s="5"/>
      <c r="V490" s="5"/>
    </row>
    <row r="491" spans="19:22" x14ac:dyDescent="0.35">
      <c r="S491" s="5"/>
      <c r="T491" s="5"/>
      <c r="U491" s="5"/>
      <c r="V491" s="5"/>
    </row>
    <row r="492" spans="19:22" x14ac:dyDescent="0.35">
      <c r="S492" s="5"/>
      <c r="T492" s="5"/>
      <c r="U492" s="5"/>
      <c r="V492" s="5"/>
    </row>
    <row r="493" spans="19:22" x14ac:dyDescent="0.35">
      <c r="S493" s="5"/>
      <c r="T493" s="5"/>
      <c r="U493" s="5"/>
      <c r="V493" s="5"/>
    </row>
    <row r="494" spans="19:22" x14ac:dyDescent="0.35">
      <c r="S494" s="5"/>
      <c r="T494" s="5"/>
      <c r="U494" s="5"/>
      <c r="V494" s="5"/>
    </row>
    <row r="495" spans="19:22" x14ac:dyDescent="0.35">
      <c r="S495" s="5"/>
      <c r="T495" s="5"/>
      <c r="U495" s="5"/>
      <c r="V495" s="5"/>
    </row>
    <row r="496" spans="19:22" x14ac:dyDescent="0.35">
      <c r="S496" s="5"/>
      <c r="T496" s="5"/>
      <c r="U496" s="5"/>
      <c r="V496" s="5"/>
    </row>
    <row r="497" spans="19:22" x14ac:dyDescent="0.35">
      <c r="S497" s="5"/>
      <c r="T497" s="5"/>
      <c r="U497" s="5"/>
      <c r="V497" s="5"/>
    </row>
    <row r="498" spans="19:22" x14ac:dyDescent="0.35">
      <c r="S498" s="5"/>
      <c r="T498" s="5"/>
      <c r="U498" s="5"/>
      <c r="V498" s="5"/>
    </row>
    <row r="499" spans="19:22" x14ac:dyDescent="0.35">
      <c r="S499" s="5"/>
      <c r="T499" s="5"/>
      <c r="U499" s="5"/>
      <c r="V499" s="5"/>
    </row>
    <row r="500" spans="19:22" x14ac:dyDescent="0.35">
      <c r="S500" s="5"/>
      <c r="T500" s="5"/>
      <c r="U500" s="5"/>
      <c r="V500" s="5"/>
    </row>
    <row r="501" spans="19:22" x14ac:dyDescent="0.35">
      <c r="S501" s="5"/>
      <c r="T501" s="5"/>
      <c r="U501" s="5"/>
      <c r="V501" s="5"/>
    </row>
    <row r="502" spans="19:22" x14ac:dyDescent="0.35">
      <c r="S502" s="5"/>
      <c r="T502" s="5"/>
      <c r="U502" s="5"/>
      <c r="V502" s="5"/>
    </row>
    <row r="503" spans="19:22" x14ac:dyDescent="0.35">
      <c r="S503" s="5"/>
      <c r="T503" s="5"/>
      <c r="U503" s="5"/>
      <c r="V503" s="5"/>
    </row>
    <row r="504" spans="19:22" x14ac:dyDescent="0.35">
      <c r="S504" s="5"/>
      <c r="T504" s="5"/>
      <c r="U504" s="5"/>
      <c r="V504" s="5"/>
    </row>
    <row r="505" spans="19:22" x14ac:dyDescent="0.35">
      <c r="S505" s="5"/>
      <c r="T505" s="5"/>
      <c r="U505" s="5"/>
      <c r="V505" s="5"/>
    </row>
    <row r="506" spans="19:22" x14ac:dyDescent="0.35">
      <c r="S506" s="5"/>
      <c r="T506" s="5"/>
      <c r="U506" s="5"/>
      <c r="V506" s="5"/>
    </row>
    <row r="507" spans="19:22" x14ac:dyDescent="0.35">
      <c r="S507" s="5"/>
      <c r="T507" s="5"/>
      <c r="U507" s="5"/>
      <c r="V507" s="5"/>
    </row>
    <row r="508" spans="19:22" x14ac:dyDescent="0.35">
      <c r="S508" s="5"/>
      <c r="T508" s="5"/>
      <c r="U508" s="5"/>
      <c r="V508" s="5"/>
    </row>
    <row r="509" spans="19:22" x14ac:dyDescent="0.35">
      <c r="S509" s="5"/>
      <c r="T509" s="5"/>
      <c r="U509" s="5"/>
      <c r="V509" s="5"/>
    </row>
    <row r="510" spans="19:22" x14ac:dyDescent="0.35">
      <c r="S510" s="5"/>
      <c r="T510" s="5"/>
      <c r="U510" s="5"/>
      <c r="V510" s="5"/>
    </row>
    <row r="511" spans="19:22" x14ac:dyDescent="0.35">
      <c r="S511" s="5"/>
      <c r="T511" s="5"/>
      <c r="U511" s="5"/>
      <c r="V511" s="5"/>
    </row>
    <row r="512" spans="19:22" x14ac:dyDescent="0.35">
      <c r="S512" s="5"/>
      <c r="T512" s="5"/>
      <c r="U512" s="5"/>
      <c r="V512" s="5"/>
    </row>
    <row r="513" spans="19:22" x14ac:dyDescent="0.35">
      <c r="S513" s="5"/>
      <c r="T513" s="5"/>
      <c r="U513" s="5"/>
      <c r="V513" s="5"/>
    </row>
    <row r="514" spans="19:22" x14ac:dyDescent="0.35">
      <c r="S514" s="5"/>
      <c r="T514" s="5"/>
      <c r="U514" s="5"/>
      <c r="V514" s="5"/>
    </row>
    <row r="515" spans="19:22" x14ac:dyDescent="0.35">
      <c r="S515" s="5"/>
      <c r="T515" s="5"/>
      <c r="U515" s="5"/>
      <c r="V515" s="5"/>
    </row>
    <row r="516" spans="19:22" x14ac:dyDescent="0.35">
      <c r="S516" s="5"/>
      <c r="T516" s="5"/>
      <c r="U516" s="5"/>
      <c r="V516" s="5"/>
    </row>
    <row r="517" spans="19:22" x14ac:dyDescent="0.35">
      <c r="S517" s="5"/>
      <c r="T517" s="5"/>
      <c r="U517" s="5"/>
      <c r="V517" s="5"/>
    </row>
    <row r="518" spans="19:22" x14ac:dyDescent="0.35">
      <c r="S518" s="5"/>
      <c r="T518" s="5"/>
      <c r="U518" s="5"/>
      <c r="V518" s="5"/>
    </row>
    <row r="519" spans="19:22" x14ac:dyDescent="0.35">
      <c r="S519" s="5"/>
      <c r="T519" s="5"/>
      <c r="U519" s="5"/>
      <c r="V519" s="5"/>
    </row>
    <row r="520" spans="19:22" x14ac:dyDescent="0.35">
      <c r="S520" s="5"/>
      <c r="T520" s="5"/>
      <c r="U520" s="5"/>
      <c r="V520" s="5"/>
    </row>
    <row r="521" spans="19:22" x14ac:dyDescent="0.35">
      <c r="S521" s="5"/>
      <c r="T521" s="5"/>
      <c r="U521" s="5"/>
      <c r="V521" s="5"/>
    </row>
    <row r="522" spans="19:22" x14ac:dyDescent="0.35">
      <c r="S522" s="5"/>
      <c r="T522" s="5"/>
      <c r="U522" s="5"/>
      <c r="V522" s="5"/>
    </row>
    <row r="523" spans="19:22" x14ac:dyDescent="0.35">
      <c r="S523" s="5"/>
      <c r="T523" s="5"/>
      <c r="U523" s="5"/>
      <c r="V523" s="5"/>
    </row>
    <row r="524" spans="19:22" x14ac:dyDescent="0.35">
      <c r="S524" s="5"/>
      <c r="T524" s="5"/>
      <c r="U524" s="5"/>
      <c r="V524" s="5"/>
    </row>
    <row r="525" spans="19:22" x14ac:dyDescent="0.35">
      <c r="S525" s="5"/>
      <c r="T525" s="5"/>
      <c r="U525" s="5"/>
      <c r="V525" s="5"/>
    </row>
    <row r="526" spans="19:22" x14ac:dyDescent="0.35">
      <c r="S526" s="5"/>
      <c r="T526" s="5"/>
      <c r="U526" s="5"/>
      <c r="V526" s="5"/>
    </row>
    <row r="527" spans="19:22" x14ac:dyDescent="0.35">
      <c r="S527" s="5"/>
      <c r="T527" s="5"/>
      <c r="U527" s="5"/>
      <c r="V527" s="5"/>
    </row>
    <row r="528" spans="19:22" x14ac:dyDescent="0.35">
      <c r="S528" s="5"/>
      <c r="T528" s="5"/>
      <c r="U528" s="5"/>
      <c r="V528" s="5"/>
    </row>
    <row r="529" spans="19:22" x14ac:dyDescent="0.35">
      <c r="S529" s="5"/>
      <c r="T529" s="5"/>
      <c r="U529" s="5"/>
      <c r="V529" s="5"/>
    </row>
    <row r="530" spans="19:22" x14ac:dyDescent="0.35">
      <c r="S530" s="5"/>
      <c r="T530" s="5"/>
      <c r="U530" s="5"/>
      <c r="V530" s="5"/>
    </row>
    <row r="531" spans="19:22" x14ac:dyDescent="0.35">
      <c r="S531" s="5"/>
      <c r="T531" s="5"/>
      <c r="U531" s="5"/>
      <c r="V531" s="5"/>
    </row>
    <row r="532" spans="19:22" x14ac:dyDescent="0.35">
      <c r="S532" s="5"/>
      <c r="T532" s="5"/>
      <c r="U532" s="5"/>
      <c r="V532" s="5"/>
    </row>
    <row r="533" spans="19:22" x14ac:dyDescent="0.35">
      <c r="S533" s="5"/>
      <c r="T533" s="5"/>
      <c r="U533" s="5"/>
      <c r="V533" s="5"/>
    </row>
    <row r="534" spans="19:22" x14ac:dyDescent="0.35">
      <c r="S534" s="5"/>
      <c r="T534" s="5"/>
      <c r="U534" s="5"/>
      <c r="V534" s="5"/>
    </row>
  </sheetData>
  <autoFilter ref="O1:O197"/>
  <sortState ref="S2:X629">
    <sortCondition ref="V2:V629"/>
    <sortCondition descending="1" ref="U2:U629"/>
  </sortState>
  <mergeCells count="2">
    <mergeCell ref="A1:D1"/>
    <mergeCell ref="A22:D2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4</xdr:col>
                <xdr:colOff>127000</xdr:colOff>
                <xdr:row>0</xdr:row>
                <xdr:rowOff>146050</xdr:rowOff>
              </from>
              <to>
                <xdr:col>8</xdr:col>
                <xdr:colOff>127000</xdr:colOff>
                <xdr:row>0</xdr:row>
                <xdr:rowOff>685800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2014</vt:lpstr>
      <vt:lpstr>2015</vt:lpstr>
    </vt:vector>
  </TitlesOfParts>
  <Company>Forest Service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Pierson</dc:creator>
  <cp:lastModifiedBy>Derek Pierson</cp:lastModifiedBy>
  <dcterms:created xsi:type="dcterms:W3CDTF">2013-09-03T21:07:32Z</dcterms:created>
  <dcterms:modified xsi:type="dcterms:W3CDTF">2015-09-08T00:50:24Z</dcterms:modified>
</cp:coreProperties>
</file>